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AK KARYA\KEUANGAN\2026\"/>
    </mc:Choice>
  </mc:AlternateContent>
  <xr:revisionPtr revIDLastSave="0" documentId="8_{CF491447-6352-4B88-AD0C-64E8B1B6F3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AS BESAR PROYEK" sheetId="29" r:id="rId1"/>
    <sheet name="TF AZKA" sheetId="51" r:id="rId2"/>
    <sheet name="CIH" sheetId="32" r:id="rId3"/>
    <sheet name="balai PU" sheetId="21" r:id="rId4"/>
    <sheet name="ford" sheetId="22" state="hidden" r:id="rId5"/>
    <sheet name="RICKY" sheetId="23" r:id="rId6"/>
    <sheet name="D. SENDI RSAL" sheetId="25" state="hidden" r:id="rId7"/>
    <sheet name="GUDANG JENNY" sheetId="26" r:id="rId8"/>
    <sheet name="CANOPY DEWI" sheetId="27" state="hidden" r:id="rId9"/>
    <sheet name="JENDELA KORIDOR DEWI" sheetId="30" state="hidden" r:id="rId10"/>
    <sheet name="NUR EFENDI" sheetId="33" r:id="rId11"/>
    <sheet name="IPUT" sheetId="35" r:id="rId12"/>
    <sheet name="IRSANDI" sheetId="43" r:id="rId13"/>
    <sheet name="INTERIOR FRIZQI" sheetId="44" r:id="rId14"/>
    <sheet name="LINTANG" sheetId="50" r:id="rId15"/>
    <sheet name="D. NANANG" sheetId="24" r:id="rId16"/>
    <sheet name="D. TENNY BEKASI" sheetId="31" r:id="rId17"/>
    <sheet name="D. HAMSJAH" sheetId="34" r:id="rId18"/>
    <sheet name="D. DEWI K24" sheetId="36" state="hidden" r:id="rId19"/>
    <sheet name="D. LINDA" sheetId="37" r:id="rId20"/>
    <sheet name="D. SIGIT GEDANGAN" sheetId="38" r:id="rId21"/>
    <sheet name="D. DESY" sheetId="39" r:id="rId22"/>
    <sheet name="D. DR MOLIS" sheetId="41" r:id="rId23"/>
    <sheet name="D. ERLIS" sheetId="42" r:id="rId24"/>
    <sheet name="D. ARIEF JOMBANG" sheetId="28" r:id="rId25"/>
    <sheet name="D. JONI" sheetId="45" r:id="rId26"/>
    <sheet name="D. NIKE" sheetId="46" r:id="rId27"/>
    <sheet name="D. ANGGA" sheetId="47" r:id="rId28"/>
    <sheet name="D. SAZA" sheetId="48" r:id="rId29"/>
    <sheet name="Sheet1" sheetId="52" r:id="rId30"/>
    <sheet name="D. INGE" sheetId="4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9" l="1"/>
  <c r="Q32" i="29"/>
  <c r="Q31" i="29"/>
  <c r="Q30" i="29"/>
  <c r="Q29" i="29"/>
  <c r="Q28" i="29"/>
  <c r="Q27" i="29"/>
  <c r="Q26" i="29"/>
  <c r="Q25" i="29"/>
  <c r="Q24" i="29"/>
  <c r="Q23" i="29"/>
  <c r="Q22" i="29"/>
  <c r="Q21" i="29"/>
  <c r="Q20" i="29"/>
  <c r="Q19" i="29"/>
  <c r="Q18" i="29"/>
  <c r="Q17" i="29"/>
  <c r="Q16" i="29"/>
  <c r="Q15" i="29"/>
  <c r="Q14" i="29"/>
  <c r="A37" i="29"/>
  <c r="A38" i="29" s="1"/>
  <c r="A39" i="29" s="1"/>
  <c r="A36" i="29"/>
  <c r="L7" i="29"/>
  <c r="F16" i="51"/>
  <c r="F15" i="51"/>
  <c r="F14" i="51"/>
  <c r="F13" i="51"/>
  <c r="F12" i="51"/>
  <c r="F11" i="51"/>
  <c r="F10" i="51"/>
  <c r="F9" i="51"/>
  <c r="F8" i="51"/>
  <c r="F23" i="51"/>
  <c r="F22" i="51"/>
  <c r="F21" i="51"/>
  <c r="F20" i="51"/>
  <c r="F19" i="51"/>
  <c r="F26" i="51"/>
  <c r="F34" i="51"/>
  <c r="F33" i="51"/>
  <c r="F32" i="51"/>
  <c r="F31" i="51"/>
  <c r="F30" i="51"/>
  <c r="F29" i="51"/>
  <c r="E28" i="51"/>
  <c r="E36" i="51" s="1"/>
  <c r="E5" i="50"/>
  <c r="E9" i="50" s="1"/>
  <c r="M32" i="29" s="1"/>
  <c r="D26" i="50"/>
  <c r="C32" i="29" s="1"/>
  <c r="A15" i="50"/>
  <c r="A16" i="50" s="1"/>
  <c r="A17" i="50" s="1"/>
  <c r="A18" i="50" s="1"/>
  <c r="D9" i="50"/>
  <c r="D27" i="50" s="1"/>
  <c r="N69" i="32"/>
  <c r="F24" i="50" s="1"/>
  <c r="N68" i="32"/>
  <c r="N67" i="32"/>
  <c r="F20" i="48" s="1"/>
  <c r="N66" i="32"/>
  <c r="P13" i="29"/>
  <c r="P17" i="29"/>
  <c r="P14" i="29"/>
  <c r="P26" i="29"/>
  <c r="L26" i="29" s="1"/>
  <c r="D84" i="21"/>
  <c r="D86" i="21"/>
  <c r="F27" i="35"/>
  <c r="D88" i="21"/>
  <c r="E88" i="21" s="1"/>
  <c r="D85" i="21"/>
  <c r="J31" i="29"/>
  <c r="C31" i="29"/>
  <c r="D22" i="49"/>
  <c r="F31" i="29" s="1"/>
  <c r="A15" i="49"/>
  <c r="A16" i="49" s="1"/>
  <c r="A17" i="49" s="1"/>
  <c r="A18" i="49" s="1"/>
  <c r="E9" i="49"/>
  <c r="M31" i="29" s="1"/>
  <c r="D9" i="49"/>
  <c r="G6" i="49"/>
  <c r="G5" i="49"/>
  <c r="G9" i="49" s="1"/>
  <c r="H9" i="49" s="1"/>
  <c r="M29" i="29"/>
  <c r="C29" i="29"/>
  <c r="D22" i="48"/>
  <c r="F29" i="29" s="1"/>
  <c r="A15" i="48"/>
  <c r="A16" i="48" s="1"/>
  <c r="A17" i="48" s="1"/>
  <c r="A18" i="48" s="1"/>
  <c r="E9" i="48"/>
  <c r="G6" i="48"/>
  <c r="G5" i="48"/>
  <c r="D36" i="29"/>
  <c r="D35" i="29"/>
  <c r="D83" i="21"/>
  <c r="E11" i="21"/>
  <c r="D11" i="21"/>
  <c r="F11" i="21" s="1"/>
  <c r="F28" i="29"/>
  <c r="P28" i="29"/>
  <c r="D5" i="47"/>
  <c r="D9" i="47" s="1"/>
  <c r="J28" i="29" s="1"/>
  <c r="D22" i="47"/>
  <c r="C28" i="29" s="1"/>
  <c r="F22" i="47"/>
  <c r="D28" i="29" s="1"/>
  <c r="A15" i="47"/>
  <c r="A16" i="47" s="1"/>
  <c r="A17" i="47" s="1"/>
  <c r="A18" i="47" s="1"/>
  <c r="E9" i="47"/>
  <c r="M28" i="29" s="1"/>
  <c r="L28" i="29" s="1"/>
  <c r="G6" i="47"/>
  <c r="D23" i="23"/>
  <c r="E5" i="42"/>
  <c r="E5" i="34"/>
  <c r="E5" i="26"/>
  <c r="F27" i="29"/>
  <c r="J27" i="29"/>
  <c r="N65" i="32"/>
  <c r="D23" i="46"/>
  <c r="D22" i="46"/>
  <c r="C27" i="29" s="1"/>
  <c r="A15" i="46"/>
  <c r="A16" i="46" s="1"/>
  <c r="A17" i="46" s="1"/>
  <c r="A18" i="46" s="1"/>
  <c r="E9" i="46"/>
  <c r="D9" i="46"/>
  <c r="G6" i="46"/>
  <c r="G5" i="46"/>
  <c r="G9" i="46" s="1"/>
  <c r="H9" i="46" s="1"/>
  <c r="D22" i="45"/>
  <c r="D23" i="45" s="1"/>
  <c r="F22" i="45"/>
  <c r="D26" i="29" s="1"/>
  <c r="A15" i="45"/>
  <c r="A16" i="45" s="1"/>
  <c r="A17" i="45" s="1"/>
  <c r="A18" i="45" s="1"/>
  <c r="E9" i="45"/>
  <c r="G6" i="45"/>
  <c r="D9" i="45"/>
  <c r="J26" i="29" s="1"/>
  <c r="G9" i="21"/>
  <c r="D87" i="21"/>
  <c r="D5" i="44"/>
  <c r="D9" i="44" s="1"/>
  <c r="J22" i="29" s="1"/>
  <c r="H6" i="44"/>
  <c r="E5" i="44"/>
  <c r="D26" i="44"/>
  <c r="F22" i="29" s="1"/>
  <c r="A16" i="44"/>
  <c r="A17" i="44" s="1"/>
  <c r="A18" i="44" s="1"/>
  <c r="A15" i="44"/>
  <c r="G6" i="44"/>
  <c r="F157" i="32"/>
  <c r="F57" i="21"/>
  <c r="G8" i="28"/>
  <c r="H8" i="28" s="1"/>
  <c r="M30" i="29"/>
  <c r="N63" i="32"/>
  <c r="F27" i="43"/>
  <c r="D26" i="43"/>
  <c r="C30" i="29" s="1"/>
  <c r="A15" i="43"/>
  <c r="A16" i="43" s="1"/>
  <c r="A17" i="43" s="1"/>
  <c r="A18" i="43" s="1"/>
  <c r="E9" i="43"/>
  <c r="D9" i="43"/>
  <c r="J30" i="29" s="1"/>
  <c r="G6" i="43"/>
  <c r="G5" i="43"/>
  <c r="N53" i="32"/>
  <c r="N51" i="32"/>
  <c r="N62" i="32"/>
  <c r="N61" i="32"/>
  <c r="F20" i="42" s="1"/>
  <c r="F22" i="42" s="1"/>
  <c r="D15" i="29" s="1"/>
  <c r="F15" i="29"/>
  <c r="C15" i="29"/>
  <c r="D5" i="42"/>
  <c r="D22" i="42"/>
  <c r="A15" i="42"/>
  <c r="A16" i="42" s="1"/>
  <c r="A17" i="42" s="1"/>
  <c r="A18" i="42" s="1"/>
  <c r="E9" i="42"/>
  <c r="M15" i="29" s="1"/>
  <c r="G6" i="42"/>
  <c r="N60" i="32"/>
  <c r="F20" i="37" s="1"/>
  <c r="F22" i="37" s="1"/>
  <c r="D20" i="29" s="1"/>
  <c r="N58" i="32"/>
  <c r="F20" i="41" s="1"/>
  <c r="F22" i="41" s="1"/>
  <c r="D25" i="29" s="1"/>
  <c r="F20" i="29"/>
  <c r="C20" i="29"/>
  <c r="J21" i="29"/>
  <c r="D5" i="41"/>
  <c r="G5" i="41" s="1"/>
  <c r="D22" i="41"/>
  <c r="F25" i="29" s="1"/>
  <c r="A15" i="41"/>
  <c r="A16" i="41" s="1"/>
  <c r="A17" i="41" s="1"/>
  <c r="A18" i="41" s="1"/>
  <c r="E9" i="41"/>
  <c r="M25" i="29" s="1"/>
  <c r="G6" i="41"/>
  <c r="D5" i="39"/>
  <c r="D9" i="39" s="1"/>
  <c r="J14" i="29" s="1"/>
  <c r="F22" i="39"/>
  <c r="D14" i="29" s="1"/>
  <c r="D22" i="39"/>
  <c r="C14" i="29" s="1"/>
  <c r="A15" i="39"/>
  <c r="A16" i="39" s="1"/>
  <c r="A17" i="39" s="1"/>
  <c r="A18" i="39" s="1"/>
  <c r="E9" i="39"/>
  <c r="G6" i="39"/>
  <c r="D22" i="38"/>
  <c r="F21" i="29" s="1"/>
  <c r="A15" i="38"/>
  <c r="A16" i="38" s="1"/>
  <c r="A17" i="38" s="1"/>
  <c r="A18" i="38" s="1"/>
  <c r="E9" i="38"/>
  <c r="M21" i="29" s="1"/>
  <c r="D9" i="38"/>
  <c r="G6" i="38"/>
  <c r="G5" i="38"/>
  <c r="D22" i="37"/>
  <c r="A15" i="37"/>
  <c r="A16" i="37" s="1"/>
  <c r="A17" i="37" s="1"/>
  <c r="A18" i="37" s="1"/>
  <c r="E9" i="37"/>
  <c r="M20" i="29" s="1"/>
  <c r="D9" i="37"/>
  <c r="J20" i="29" s="1"/>
  <c r="G6" i="37"/>
  <c r="G5" i="37"/>
  <c r="G9" i="37" s="1"/>
  <c r="F128" i="32"/>
  <c r="F123" i="32"/>
  <c r="E86" i="21"/>
  <c r="E84" i="21"/>
  <c r="Q39" i="29"/>
  <c r="Q37" i="29"/>
  <c r="Q36" i="29"/>
  <c r="Q35" i="29"/>
  <c r="E10" i="21"/>
  <c r="F109" i="32"/>
  <c r="N57" i="32"/>
  <c r="F72" i="32"/>
  <c r="E65" i="32"/>
  <c r="F54" i="32"/>
  <c r="F47" i="32"/>
  <c r="F45" i="32"/>
  <c r="F41" i="32"/>
  <c r="I6" i="21"/>
  <c r="E85" i="21"/>
  <c r="N56" i="32"/>
  <c r="F20" i="36" s="1"/>
  <c r="P12" i="29" s="1"/>
  <c r="N55" i="32"/>
  <c r="F22" i="28" s="1"/>
  <c r="P19" i="29" s="1"/>
  <c r="G7" i="28"/>
  <c r="H7" i="28" s="1"/>
  <c r="F9" i="21"/>
  <c r="F8" i="21"/>
  <c r="F6" i="21"/>
  <c r="F5" i="21"/>
  <c r="J6" i="21"/>
  <c r="J5" i="21"/>
  <c r="E83" i="21"/>
  <c r="A84" i="21"/>
  <c r="A85" i="21" s="1"/>
  <c r="A86" i="21" s="1"/>
  <c r="A87" i="21" s="1"/>
  <c r="A88" i="21" s="1"/>
  <c r="F43" i="21"/>
  <c r="F35" i="21"/>
  <c r="H13" i="21"/>
  <c r="N16" i="29" s="1"/>
  <c r="N52" i="32"/>
  <c r="E14" i="29" l="1"/>
  <c r="E15" i="29"/>
  <c r="E28" i="29"/>
  <c r="E20" i="29"/>
  <c r="C26" i="29"/>
  <c r="E26" i="29" s="1"/>
  <c r="F23" i="39"/>
  <c r="F14" i="29"/>
  <c r="G14" i="29" s="1"/>
  <c r="K11" i="21"/>
  <c r="L11" i="21" s="1"/>
  <c r="F32" i="29"/>
  <c r="C21" i="29"/>
  <c r="H9" i="37"/>
  <c r="M14" i="29"/>
  <c r="L14" i="29" s="1"/>
  <c r="C25" i="29"/>
  <c r="E25" i="29" s="1"/>
  <c r="C22" i="29"/>
  <c r="F26" i="29"/>
  <c r="G26" i="29" s="1"/>
  <c r="G9" i="43"/>
  <c r="H9" i="43" s="1"/>
  <c r="G5" i="39"/>
  <c r="G9" i="39" s="1"/>
  <c r="H9" i="39" s="1"/>
  <c r="J32" i="29"/>
  <c r="G9" i="38"/>
  <c r="H9" i="38" s="1"/>
  <c r="D27" i="44"/>
  <c r="G5" i="42"/>
  <c r="G31" i="29"/>
  <c r="F36" i="51"/>
  <c r="E37" i="51" s="1"/>
  <c r="F20" i="49"/>
  <c r="P31" i="29" s="1"/>
  <c r="L31" i="29" s="1"/>
  <c r="F22" i="48"/>
  <c r="D29" i="29" s="1"/>
  <c r="E29" i="29" s="1"/>
  <c r="P29" i="29"/>
  <c r="L29" i="29" s="1"/>
  <c r="F26" i="50"/>
  <c r="D32" i="29" s="1"/>
  <c r="E32" i="29" s="1"/>
  <c r="P32" i="29"/>
  <c r="L32" i="29" s="1"/>
  <c r="G27" i="29"/>
  <c r="G5" i="50"/>
  <c r="F20" i="46"/>
  <c r="F22" i="46" s="1"/>
  <c r="D27" i="29" s="1"/>
  <c r="E27" i="29" s="1"/>
  <c r="G22" i="29"/>
  <c r="D23" i="49"/>
  <c r="H5" i="49"/>
  <c r="G9" i="48"/>
  <c r="H5" i="48"/>
  <c r="D9" i="48"/>
  <c r="G28" i="29"/>
  <c r="N64" i="32"/>
  <c r="F24" i="44" s="1"/>
  <c r="P22" i="29" s="1"/>
  <c r="P25" i="29"/>
  <c r="L25" i="29" s="1"/>
  <c r="P15" i="29"/>
  <c r="L15" i="29" s="1"/>
  <c r="P20" i="29"/>
  <c r="L20" i="29" s="1"/>
  <c r="D23" i="47"/>
  <c r="G5" i="47"/>
  <c r="G9" i="47" s="1"/>
  <c r="H9" i="47" s="1"/>
  <c r="F30" i="29"/>
  <c r="G30" i="29" s="1"/>
  <c r="H5" i="46"/>
  <c r="G5" i="45"/>
  <c r="F24" i="43"/>
  <c r="E9" i="44"/>
  <c r="G5" i="44"/>
  <c r="G9" i="44" s="1"/>
  <c r="H9" i="44" s="1"/>
  <c r="N54" i="32"/>
  <c r="F24" i="35" s="1"/>
  <c r="P24" i="29" s="1"/>
  <c r="N59" i="32"/>
  <c r="F20" i="38" s="1"/>
  <c r="G20" i="29"/>
  <c r="D27" i="43"/>
  <c r="H5" i="43"/>
  <c r="F10" i="21"/>
  <c r="J10" i="21" s="1"/>
  <c r="G9" i="42"/>
  <c r="H5" i="42"/>
  <c r="D9" i="42"/>
  <c r="J15" i="29" s="1"/>
  <c r="G21" i="29"/>
  <c r="G9" i="41"/>
  <c r="H5" i="41"/>
  <c r="D9" i="41"/>
  <c r="J25" i="29" s="1"/>
  <c r="H5" i="39"/>
  <c r="H5" i="38"/>
  <c r="H5" i="37"/>
  <c r="K9" i="21"/>
  <c r="L9" i="21" s="1"/>
  <c r="E87" i="21"/>
  <c r="N50" i="32"/>
  <c r="N48" i="32"/>
  <c r="F29" i="23" s="1"/>
  <c r="P23" i="29" s="1"/>
  <c r="N47" i="32"/>
  <c r="N46" i="32"/>
  <c r="N45" i="32"/>
  <c r="F23" i="26" s="1"/>
  <c r="P8" i="29" s="1"/>
  <c r="N44" i="32"/>
  <c r="N43" i="32"/>
  <c r="N42" i="32"/>
  <c r="N41" i="32"/>
  <c r="F21" i="33" s="1"/>
  <c r="P11" i="29" s="1"/>
  <c r="M73" i="32"/>
  <c r="I41" i="32"/>
  <c r="I42" i="32" s="1"/>
  <c r="I43" i="32" s="1"/>
  <c r="I44" i="32" s="1"/>
  <c r="I45" i="32" s="1"/>
  <c r="D6" i="28"/>
  <c r="D5" i="28"/>
  <c r="D14" i="36"/>
  <c r="F22" i="36"/>
  <c r="D12" i="29" s="1"/>
  <c r="D22" i="36"/>
  <c r="F12" i="29" s="1"/>
  <c r="A15" i="36"/>
  <c r="A16" i="36" s="1"/>
  <c r="A17" i="36" s="1"/>
  <c r="A18" i="36" s="1"/>
  <c r="E9" i="36"/>
  <c r="M12" i="29" s="1"/>
  <c r="L12" i="29" s="1"/>
  <c r="G6" i="36"/>
  <c r="G5" i="36"/>
  <c r="D26" i="35"/>
  <c r="C24" i="29" s="1"/>
  <c r="A15" i="35"/>
  <c r="A16" i="35" s="1"/>
  <c r="A17" i="35" s="1"/>
  <c r="A18" i="35" s="1"/>
  <c r="E9" i="35"/>
  <c r="M24" i="29" s="1"/>
  <c r="L24" i="29" s="1"/>
  <c r="D9" i="35"/>
  <c r="J24" i="29" s="1"/>
  <c r="G6" i="35"/>
  <c r="G5" i="35"/>
  <c r="M17" i="29"/>
  <c r="L17" i="29" s="1"/>
  <c r="D5" i="34"/>
  <c r="G5" i="34" s="1"/>
  <c r="G9" i="34" s="1"/>
  <c r="F22" i="34"/>
  <c r="D17" i="29" s="1"/>
  <c r="D22" i="34"/>
  <c r="F17" i="29" s="1"/>
  <c r="A15" i="34"/>
  <c r="A16" i="34" s="1"/>
  <c r="A17" i="34" s="1"/>
  <c r="A18" i="34" s="1"/>
  <c r="E9" i="34"/>
  <c r="G6" i="34"/>
  <c r="D6" i="24"/>
  <c r="G6" i="24" s="1"/>
  <c r="H6" i="24" s="1"/>
  <c r="K6" i="21"/>
  <c r="K5" i="21"/>
  <c r="G15" i="29" l="1"/>
  <c r="G25" i="29"/>
  <c r="G32" i="29"/>
  <c r="D23" i="48"/>
  <c r="J29" i="29"/>
  <c r="M22" i="29"/>
  <c r="L22" i="29" s="1"/>
  <c r="F27" i="44"/>
  <c r="C17" i="29"/>
  <c r="E17" i="29" s="1"/>
  <c r="D9" i="34"/>
  <c r="F22" i="49"/>
  <c r="D31" i="29" s="1"/>
  <c r="E31" i="29" s="1"/>
  <c r="G9" i="35"/>
  <c r="G9" i="50"/>
  <c r="H9" i="50" s="1"/>
  <c r="H5" i="50"/>
  <c r="P27" i="29"/>
  <c r="L27" i="29" s="1"/>
  <c r="H9" i="48"/>
  <c r="P30" i="29"/>
  <c r="L30" i="29" s="1"/>
  <c r="F26" i="43"/>
  <c r="D30" i="29" s="1"/>
  <c r="E30" i="29" s="1"/>
  <c r="F26" i="44"/>
  <c r="D22" i="29" s="1"/>
  <c r="E22" i="29" s="1"/>
  <c r="F22" i="38"/>
  <c r="D21" i="29" s="1"/>
  <c r="E21" i="29" s="1"/>
  <c r="P21" i="29"/>
  <c r="L21" i="29" s="1"/>
  <c r="H5" i="47"/>
  <c r="G9" i="45"/>
  <c r="H9" i="45" s="1"/>
  <c r="H5" i="45"/>
  <c r="H5" i="44"/>
  <c r="F26" i="35"/>
  <c r="D24" i="29" s="1"/>
  <c r="E24" i="29" s="1"/>
  <c r="K10" i="21"/>
  <c r="L10" i="21" s="1"/>
  <c r="H9" i="42"/>
  <c r="H9" i="41"/>
  <c r="H9" i="35"/>
  <c r="C12" i="29"/>
  <c r="E12" i="29" s="1"/>
  <c r="F24" i="29"/>
  <c r="G24" i="29" s="1"/>
  <c r="D27" i="35"/>
  <c r="J8" i="21"/>
  <c r="N40" i="32"/>
  <c r="N49" i="32"/>
  <c r="G9" i="36"/>
  <c r="H5" i="36"/>
  <c r="D9" i="36"/>
  <c r="H5" i="35"/>
  <c r="H5" i="34"/>
  <c r="I8" i="21"/>
  <c r="F23" i="33"/>
  <c r="D11" i="29" s="1"/>
  <c r="D23" i="33"/>
  <c r="A15" i="33"/>
  <c r="A16" i="33" s="1"/>
  <c r="A17" i="33" s="1"/>
  <c r="A18" i="33" s="1"/>
  <c r="E9" i="33"/>
  <c r="M11" i="29" s="1"/>
  <c r="L11" i="29" s="1"/>
  <c r="D9" i="33"/>
  <c r="J11" i="29" s="1"/>
  <c r="G6" i="33"/>
  <c r="H6" i="33" s="1"/>
  <c r="G5" i="33"/>
  <c r="N34" i="32"/>
  <c r="M34" i="32"/>
  <c r="D39" i="29" s="1"/>
  <c r="I8" i="32"/>
  <c r="I9" i="32" s="1"/>
  <c r="I10" i="32" s="1"/>
  <c r="I11" i="32" s="1"/>
  <c r="I12" i="32" s="1"/>
  <c r="Q11" i="29" l="1"/>
  <c r="G29" i="29"/>
  <c r="D23" i="36"/>
  <c r="J12" i="29"/>
  <c r="Q12" i="29" s="1"/>
  <c r="D23" i="34"/>
  <c r="J17" i="29"/>
  <c r="H9" i="34"/>
  <c r="G9" i="33"/>
  <c r="H9" i="33" s="1"/>
  <c r="N74" i="32"/>
  <c r="F74" i="21"/>
  <c r="P16" i="29" s="1"/>
  <c r="K8" i="21"/>
  <c r="L8" i="21" s="1"/>
  <c r="N73" i="32"/>
  <c r="H9" i="36"/>
  <c r="F11" i="29"/>
  <c r="G11" i="29" s="1"/>
  <c r="C11" i="29"/>
  <c r="E11" i="29" s="1"/>
  <c r="H5" i="33"/>
  <c r="F220" i="32"/>
  <c r="E220" i="32"/>
  <c r="M10" i="29"/>
  <c r="L10" i="29" s="1"/>
  <c r="J10" i="29"/>
  <c r="F9" i="29"/>
  <c r="D15" i="26"/>
  <c r="D14" i="26"/>
  <c r="D5" i="26"/>
  <c r="F7" i="29"/>
  <c r="J7" i="29"/>
  <c r="Q7" i="29" s="1"/>
  <c r="F9" i="22"/>
  <c r="O6" i="29" s="1"/>
  <c r="I13" i="21"/>
  <c r="E7" i="21"/>
  <c r="F7" i="21" s="1"/>
  <c r="F22" i="31"/>
  <c r="D13" i="29" s="1"/>
  <c r="D22" i="31"/>
  <c r="F13" i="29" s="1"/>
  <c r="A15" i="31"/>
  <c r="A16" i="31" s="1"/>
  <c r="A17" i="31" s="1"/>
  <c r="A18" i="31" s="1"/>
  <c r="E9" i="31"/>
  <c r="G6" i="31"/>
  <c r="D9" i="31"/>
  <c r="J13" i="29" s="1"/>
  <c r="Q39" i="21"/>
  <c r="F22" i="30"/>
  <c r="D10" i="29" s="1"/>
  <c r="D22" i="30"/>
  <c r="C10" i="29" s="1"/>
  <c r="A15" i="30"/>
  <c r="A16" i="30" s="1"/>
  <c r="A17" i="30" s="1"/>
  <c r="A18" i="30" s="1"/>
  <c r="E9" i="30"/>
  <c r="G6" i="30"/>
  <c r="D9" i="30"/>
  <c r="D7" i="29"/>
  <c r="D9" i="29"/>
  <c r="C9" i="29"/>
  <c r="E9" i="29" s="1"/>
  <c r="A7" i="29"/>
  <c r="A8" i="29" s="1"/>
  <c r="A9" i="29" s="1"/>
  <c r="A10" i="29" s="1"/>
  <c r="G6" i="28"/>
  <c r="H6" i="28" s="1"/>
  <c r="F24" i="28"/>
  <c r="D19" i="29" s="1"/>
  <c r="D24" i="28"/>
  <c r="C19" i="29" s="1"/>
  <c r="A16" i="28"/>
  <c r="A17" i="28" s="1"/>
  <c r="A18" i="28" s="1"/>
  <c r="A19" i="28" s="1"/>
  <c r="E10" i="28"/>
  <c r="M19" i="29" s="1"/>
  <c r="L19" i="29" s="1"/>
  <c r="D10" i="28"/>
  <c r="J19" i="29" s="1"/>
  <c r="G5" i="28"/>
  <c r="H5" i="28" s="1"/>
  <c r="F22" i="27"/>
  <c r="D22" i="27"/>
  <c r="D23" i="27" s="1"/>
  <c r="A15" i="27"/>
  <c r="A16" i="27" s="1"/>
  <c r="A17" i="27" s="1"/>
  <c r="A18" i="27" s="1"/>
  <c r="E9" i="27"/>
  <c r="M9" i="29" s="1"/>
  <c r="L9" i="29" s="1"/>
  <c r="D9" i="27"/>
  <c r="J9" i="29" s="1"/>
  <c r="G5" i="27"/>
  <c r="H5" i="27" s="1"/>
  <c r="H9" i="27" s="1"/>
  <c r="F25" i="26"/>
  <c r="D8" i="29" s="1"/>
  <c r="A15" i="26"/>
  <c r="A16" i="26" s="1"/>
  <c r="A17" i="26" s="1"/>
  <c r="A18" i="26" s="1"/>
  <c r="A19" i="26" s="1"/>
  <c r="A20" i="26" s="1"/>
  <c r="E9" i="26"/>
  <c r="F22" i="25"/>
  <c r="D22" i="25"/>
  <c r="D23" i="25" s="1"/>
  <c r="A15" i="25"/>
  <c r="A16" i="25" s="1"/>
  <c r="A17" i="25" s="1"/>
  <c r="A18" i="25" s="1"/>
  <c r="E9" i="25"/>
  <c r="F23" i="25" s="1"/>
  <c r="D9" i="25"/>
  <c r="G5" i="25"/>
  <c r="H5" i="25" s="1"/>
  <c r="H9" i="25" s="1"/>
  <c r="F22" i="24"/>
  <c r="D18" i="29" s="1"/>
  <c r="D22" i="24"/>
  <c r="A15" i="24"/>
  <c r="A16" i="24" s="1"/>
  <c r="A17" i="24" s="1"/>
  <c r="E9" i="24"/>
  <c r="M18" i="29" s="1"/>
  <c r="L18" i="29" s="1"/>
  <c r="D9" i="24"/>
  <c r="G5" i="24"/>
  <c r="H5" i="24" s="1"/>
  <c r="F31" i="23"/>
  <c r="D23" i="29" s="1"/>
  <c r="D31" i="23"/>
  <c r="D32" i="23" s="1"/>
  <c r="A15" i="23"/>
  <c r="A16" i="23" s="1"/>
  <c r="A17" i="23" s="1"/>
  <c r="A18" i="23" s="1"/>
  <c r="A19" i="23" s="1"/>
  <c r="A20" i="23" s="1"/>
  <c r="A21" i="23" s="1"/>
  <c r="A22" i="23" s="1"/>
  <c r="E9" i="23"/>
  <c r="D9" i="23"/>
  <c r="J23" i="29" s="1"/>
  <c r="G5" i="23"/>
  <c r="G9" i="23" s="1"/>
  <c r="L6" i="21"/>
  <c r="L5" i="21"/>
  <c r="E10" i="29" l="1"/>
  <c r="Q9" i="29"/>
  <c r="Q10" i="29"/>
  <c r="E19" i="29"/>
  <c r="C13" i="29"/>
  <c r="E13" i="29" s="1"/>
  <c r="F10" i="29"/>
  <c r="J18" i="29"/>
  <c r="D23" i="24"/>
  <c r="G17" i="29"/>
  <c r="F23" i="31"/>
  <c r="M13" i="29"/>
  <c r="L13" i="29" s="1"/>
  <c r="Q13" i="29" s="1"/>
  <c r="G12" i="29"/>
  <c r="D37" i="29"/>
  <c r="C44" i="29"/>
  <c r="D25" i="26"/>
  <c r="C8" i="29" s="1"/>
  <c r="E8" i="29" s="1"/>
  <c r="M8" i="29"/>
  <c r="L8" i="29" s="1"/>
  <c r="F26" i="26"/>
  <c r="N75" i="32"/>
  <c r="M23" i="29"/>
  <c r="L23" i="29" s="1"/>
  <c r="F32" i="23"/>
  <c r="F13" i="21"/>
  <c r="F23" i="29"/>
  <c r="G23" i="29" s="1"/>
  <c r="F19" i="29"/>
  <c r="G19" i="29" s="1"/>
  <c r="C18" i="29"/>
  <c r="E18" i="29" s="1"/>
  <c r="F18" i="29"/>
  <c r="E13" i="21"/>
  <c r="G7" i="29"/>
  <c r="G13" i="29"/>
  <c r="G10" i="29"/>
  <c r="G9" i="29"/>
  <c r="G5" i="26"/>
  <c r="H5" i="26" s="1"/>
  <c r="H9" i="26" s="1"/>
  <c r="D9" i="26"/>
  <c r="J8" i="29" s="1"/>
  <c r="Q8" i="29" s="1"/>
  <c r="F23" i="24"/>
  <c r="J13" i="21"/>
  <c r="O16" i="29" s="1"/>
  <c r="G5" i="31"/>
  <c r="C7" i="29"/>
  <c r="E7" i="29" s="1"/>
  <c r="F23" i="30"/>
  <c r="P39" i="21"/>
  <c r="P41" i="21" s="1"/>
  <c r="G5" i="30"/>
  <c r="C23" i="29"/>
  <c r="E23" i="29" s="1"/>
  <c r="F23" i="27"/>
  <c r="G10" i="28"/>
  <c r="H10" i="28" s="1"/>
  <c r="G9" i="27"/>
  <c r="G9" i="25"/>
  <c r="G9" i="24"/>
  <c r="H9" i="24" s="1"/>
  <c r="H5" i="23"/>
  <c r="H9" i="23" s="1"/>
  <c r="G5" i="22"/>
  <c r="H5" i="22" s="1"/>
  <c r="H9" i="22" s="1"/>
  <c r="F22" i="22"/>
  <c r="D22" i="22"/>
  <c r="D23" i="22" s="1"/>
  <c r="A15" i="22"/>
  <c r="A16" i="22" s="1"/>
  <c r="A17" i="22" s="1"/>
  <c r="A18" i="22" s="1"/>
  <c r="E9" i="22"/>
  <c r="M6" i="29" s="1"/>
  <c r="L6" i="29" s="1"/>
  <c r="D9" i="22"/>
  <c r="J6" i="29" s="1"/>
  <c r="Q6" i="29" s="1"/>
  <c r="F76" i="21"/>
  <c r="D16" i="29" s="1"/>
  <c r="D76" i="21"/>
  <c r="A20" i="21"/>
  <c r="A21" i="21" s="1"/>
  <c r="A22" i="21" s="1"/>
  <c r="A23" i="21" s="1"/>
  <c r="A24" i="21" s="1"/>
  <c r="G13" i="21"/>
  <c r="M16" i="29" s="1"/>
  <c r="L16" i="29" s="1"/>
  <c r="D13" i="21"/>
  <c r="G18" i="29" l="1"/>
  <c r="F23" i="22"/>
  <c r="F8" i="29"/>
  <c r="D26" i="26"/>
  <c r="D38" i="29"/>
  <c r="Q38" i="29" s="1"/>
  <c r="G9" i="26"/>
  <c r="F6" i="29"/>
  <c r="G6" i="29" s="1"/>
  <c r="C6" i="29"/>
  <c r="K7" i="21"/>
  <c r="L7" i="21" s="1"/>
  <c r="J16" i="29"/>
  <c r="D6" i="29"/>
  <c r="G8" i="29"/>
  <c r="C16" i="29"/>
  <c r="E16" i="29" s="1"/>
  <c r="F16" i="29"/>
  <c r="H5" i="31"/>
  <c r="G9" i="31"/>
  <c r="H9" i="31" s="1"/>
  <c r="G9" i="22"/>
  <c r="H5" i="30"/>
  <c r="G9" i="30"/>
  <c r="H9" i="30" s="1"/>
  <c r="E6" i="29" l="1"/>
  <c r="D41" i="29"/>
  <c r="Q41" i="29"/>
  <c r="C41" i="29"/>
  <c r="G16" i="29"/>
  <c r="J41" i="29"/>
  <c r="K13" i="21"/>
  <c r="L13" i="21" s="1"/>
  <c r="C43" i="29" l="1"/>
  <c r="Q4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BAKHIR-PC</author>
  </authors>
  <commentList>
    <comment ref="D35" authorId="0" shapeId="0" xr:uid="{25A0423C-80C7-457E-AD78-DACBB76D2164}">
      <text>
        <r>
          <rPr>
            <b/>
            <sz val="9"/>
            <color indexed="81"/>
            <rFont val="Tahoma"/>
            <charset val="1"/>
          </rPr>
          <t>JUNI, JULI, AGUSTUS, SEPTEMBER</t>
        </r>
      </text>
    </comment>
    <comment ref="D36" authorId="0" shapeId="0" xr:uid="{9BB03B88-5CAF-47AB-AE42-AC9797A34119}">
      <text>
        <r>
          <rPr>
            <b/>
            <sz val="9"/>
            <color indexed="81"/>
            <rFont val="Tahoma"/>
            <charset val="1"/>
          </rPr>
          <t>JUNI, JULI, AGUSTUS, SEPTEMBER</t>
        </r>
      </text>
    </comment>
    <comment ref="D37" authorId="0" shapeId="0" xr:uid="{0444CE40-C86B-46EA-A7C5-4017B4CD3CC1}">
      <text>
        <r>
          <rPr>
            <b/>
            <sz val="9"/>
            <color indexed="81"/>
            <rFont val="Tahoma"/>
            <charset val="1"/>
          </rPr>
          <t>start 17 juli 2026 - sekarang</t>
        </r>
      </text>
    </comment>
    <comment ref="D39" authorId="0" shapeId="0" xr:uid="{B0192A6F-1923-466F-B974-C86E4AE18604}">
      <text>
        <r>
          <rPr>
            <b/>
            <sz val="9"/>
            <color indexed="81"/>
            <rFont val="Tahoma"/>
            <charset val="1"/>
          </rPr>
          <t>start 20 juli 2026 - sekarang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BAKHIR-PC</author>
  </authors>
  <commentList>
    <comment ref="I8" authorId="0" shapeId="0" xr:uid="{A79777EB-1EAB-4A76-A6FE-F7FE96C31DBD}">
      <text>
        <r>
          <rPr>
            <b/>
            <sz val="9"/>
            <color indexed="81"/>
            <rFont val="Tahoma"/>
            <charset val="1"/>
          </rPr>
          <t>BENDERA</t>
        </r>
      </text>
    </comment>
    <comment ref="F35" authorId="0" shapeId="0" xr:uid="{BC366CA6-5706-4C5A-90B2-2CEA38C167C2}">
      <text>
        <r>
          <rPr>
            <b/>
            <sz val="9"/>
            <color indexed="81"/>
            <rFont val="Tahoma"/>
            <charset val="1"/>
          </rPr>
          <t>BPK RIZKY + IBU INTAN</t>
        </r>
      </text>
    </comment>
    <comment ref="F43" authorId="0" shapeId="0" xr:uid="{1E8A75E4-0423-433D-8ED7-4D2C99052B23}">
      <text>
        <r>
          <rPr>
            <b/>
            <sz val="9"/>
            <color indexed="81"/>
            <rFont val="Tahoma"/>
            <charset val="1"/>
          </rPr>
          <t>BPK RIZKY + IBU INTAN</t>
        </r>
      </text>
    </comment>
    <comment ref="F57" authorId="0" shapeId="0" xr:uid="{8F5BB20E-32DE-41C2-AA53-902F8271D94E}">
      <text>
        <r>
          <rPr>
            <b/>
            <sz val="9"/>
            <color indexed="81"/>
            <rFont val="Tahoma"/>
            <charset val="1"/>
          </rPr>
          <t>BPK RIZKY + IBU INTAN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BAKHIR-PC</author>
  </authors>
  <commentList>
    <comment ref="D17" authorId="0" shapeId="0" xr:uid="{E7F144DC-CEED-40B3-B874-F37E1E70E69D}">
      <text>
        <r>
          <rPr>
            <b/>
            <sz val="9"/>
            <color indexed="81"/>
            <rFont val="Tahoma"/>
            <charset val="1"/>
          </rPr>
          <t>PENERIMA DONI</t>
        </r>
      </text>
    </comment>
    <comment ref="F18" authorId="0" shapeId="0" xr:uid="{29B79610-AD8D-4909-B5A5-589B6F8FEB4A}">
      <text>
        <r>
          <rPr>
            <b/>
            <sz val="9"/>
            <color indexed="81"/>
            <rFont val="Tahoma"/>
            <charset val="1"/>
          </rPr>
          <t>DONI CASH KE PIHAK FORD</t>
        </r>
      </text>
    </comment>
  </commentList>
</comments>
</file>

<file path=xl/sharedStrings.xml><?xml version="1.0" encoding="utf-8"?>
<sst xmlns="http://schemas.openxmlformats.org/spreadsheetml/2006/main" count="1359" uniqueCount="458">
  <si>
    <t>NO.</t>
  </si>
  <si>
    <t>JUMLAH</t>
  </si>
  <si>
    <t>TANGGAL</t>
  </si>
  <si>
    <t>NOMINAL</t>
  </si>
  <si>
    <t>PENERIMAAN</t>
  </si>
  <si>
    <t>SPK</t>
  </si>
  <si>
    <t>KET</t>
  </si>
  <si>
    <t>TOTAL</t>
  </si>
  <si>
    <t>RAB</t>
  </si>
  <si>
    <t>RAP SUBKON</t>
  </si>
  <si>
    <t>NO</t>
  </si>
  <si>
    <t>LABA</t>
  </si>
  <si>
    <t>% LABA</t>
  </si>
  <si>
    <t>FEE</t>
  </si>
  <si>
    <t xml:space="preserve"> DANA PROYEK PROYEK DEALEAR FORD</t>
  </si>
  <si>
    <t>DP</t>
  </si>
  <si>
    <t>TERMIN I</t>
  </si>
  <si>
    <t>KURANG BAYAR</t>
  </si>
  <si>
    <t>PENGELUARAN SUBKON YUDI</t>
  </si>
  <si>
    <t>PROYEK INTERIOR BALAI BESAR PU</t>
  </si>
  <si>
    <t xml:space="preserve">FEE </t>
  </si>
  <si>
    <t xml:space="preserve">LABA </t>
  </si>
  <si>
    <t>SPK LANTAI 2</t>
  </si>
  <si>
    <t>SPK LANTAI 3</t>
  </si>
  <si>
    <t xml:space="preserve"> DANA PROYEK RICKY WIYUNG</t>
  </si>
  <si>
    <t>PROYEK DESAIN NANANG</t>
  </si>
  <si>
    <t>SPK DESAIN</t>
  </si>
  <si>
    <t>PROYEK DESAIN SENDI RSAL</t>
  </si>
  <si>
    <t>PROYEK GUDANG JENNY</t>
  </si>
  <si>
    <t>PROYEK CANOPY BELAKANG DEWI</t>
  </si>
  <si>
    <t>PROYEK DESAIN ARIEF JOMBANG</t>
  </si>
  <si>
    <t>SPK DESAIN TIPE 36</t>
  </si>
  <si>
    <t>SPK DESAIN TIPE 46</t>
  </si>
  <si>
    <t>SPK ( INCL PPN + PPH)</t>
  </si>
  <si>
    <t>LUNAS</t>
  </si>
  <si>
    <t>T I VENDOR</t>
  </si>
  <si>
    <t>T VENDOR</t>
  </si>
  <si>
    <t>BALAI PU</t>
  </si>
  <si>
    <t>FORD</t>
  </si>
  <si>
    <t>RICKY</t>
  </si>
  <si>
    <t>DESAIN NANANG</t>
  </si>
  <si>
    <t>DESAIN SENDI RSAL</t>
  </si>
  <si>
    <t>GUDANG JENNY</t>
  </si>
  <si>
    <t>CANOPY DEWI</t>
  </si>
  <si>
    <t>DESAIN ARIEF JOMBANG</t>
  </si>
  <si>
    <t>KAS BESAR BSI PROYEK</t>
  </si>
  <si>
    <t>SALDO</t>
  </si>
  <si>
    <t>PROYEK JENDELA KORIDOR BU DEWI</t>
  </si>
  <si>
    <t>DP VENDOR</t>
  </si>
  <si>
    <t>JENDELA KORIDOR DEWI</t>
  </si>
  <si>
    <t>DEBIT</t>
  </si>
  <si>
    <t>KREDIT</t>
  </si>
  <si>
    <t>KAS</t>
  </si>
  <si>
    <t>KETERANGAN</t>
  </si>
  <si>
    <t>BAKIR</t>
  </si>
  <si>
    <t>PENGELUARAN</t>
  </si>
  <si>
    <t>SURVEI BALI</t>
  </si>
  <si>
    <t>KAS SURVEI BALAI BESAR BALI</t>
  </si>
  <si>
    <t>Konsumsi penerbangan</t>
  </si>
  <si>
    <t>2 tiket pesawat surabaya - bali</t>
  </si>
  <si>
    <t>konsumsi PU</t>
  </si>
  <si>
    <t>tiket hotel 1 hari</t>
  </si>
  <si>
    <t>makan siang 2 orang</t>
  </si>
  <si>
    <t>konsumsi bertemu tim interior</t>
  </si>
  <si>
    <t>tiket hotel team interior 1 hari</t>
  </si>
  <si>
    <t>konsumsi team</t>
  </si>
  <si>
    <t>sewa motor 2 hari</t>
  </si>
  <si>
    <t>gojek bandara ke PU bali + parkir</t>
  </si>
  <si>
    <t>Gojek ke airport Juanda</t>
  </si>
  <si>
    <t>2 tiket pesawat bali - sby</t>
  </si>
  <si>
    <t>makan malam 2 orang</t>
  </si>
  <si>
    <t>taxi ke kantor</t>
  </si>
  <si>
    <t>T1 SPK LANTAI 2</t>
  </si>
  <si>
    <t>T2  SUBKON LANTAI 2</t>
  </si>
  <si>
    <t>T1 SUBKON LANTAI 2</t>
  </si>
  <si>
    <t>T1 SUBKON LANTAI 3</t>
  </si>
  <si>
    <t xml:space="preserve">SPK </t>
  </si>
  <si>
    <t>LUNAS VENDOR</t>
  </si>
  <si>
    <t>KET PROYEK</t>
  </si>
  <si>
    <t>PELUNASAN</t>
  </si>
  <si>
    <t>SPK LANTAI 1</t>
  </si>
  <si>
    <t>VENDOR</t>
  </si>
  <si>
    <t>PROYEK DESAIN INTERIOR KAMAR TENNY BEKASI</t>
  </si>
  <si>
    <t>DESAIN</t>
  </si>
  <si>
    <t>DESAIN TENNY BEKASI</t>
  </si>
  <si>
    <t>TERMIN</t>
  </si>
  <si>
    <t>T1 SUBKON LANTAI 1</t>
  </si>
  <si>
    <t>AFIF</t>
  </si>
  <si>
    <t>SALLARY DRAWING</t>
  </si>
  <si>
    <t>MARGIN</t>
  </si>
  <si>
    <t>OPERASIONAL</t>
  </si>
  <si>
    <t>SISA TERMIN</t>
  </si>
  <si>
    <t>T1 SPK LANTAI 3</t>
  </si>
  <si>
    <t>KODE</t>
  </si>
  <si>
    <t>NOTE</t>
  </si>
  <si>
    <t>Transfer pak Azka</t>
  </si>
  <si>
    <t>transfer kas ainun Proyek</t>
  </si>
  <si>
    <t>pulsa simpati kantor</t>
  </si>
  <si>
    <t>IKLAN SOSMED</t>
  </si>
  <si>
    <t>5 Galon aqua kantor</t>
  </si>
  <si>
    <t>perpanjangan proyekid</t>
  </si>
  <si>
    <t>internet 5G kantor</t>
  </si>
  <si>
    <t>makan siang balai dng pak Azka</t>
  </si>
  <si>
    <t>4 orang</t>
  </si>
  <si>
    <t>minuman kantor</t>
  </si>
  <si>
    <t>nomor AHS</t>
  </si>
  <si>
    <t>PROYEK ATAP BPK NUR EFFENDI</t>
  </si>
  <si>
    <t>jilid SPK bpk Nur Efendi</t>
  </si>
  <si>
    <t>NUR EFENDI</t>
  </si>
  <si>
    <t>AHS</t>
  </si>
  <si>
    <t>BBM ke PAL</t>
  </si>
  <si>
    <t>PAL</t>
  </si>
  <si>
    <t>iklan sosmed AKStudio IG</t>
  </si>
  <si>
    <t>T2 SPK LANTAI 2</t>
  </si>
  <si>
    <t>TERMIN 1</t>
  </si>
  <si>
    <t>FEE SPK LANTAI 2</t>
  </si>
  <si>
    <t>FEE PU</t>
  </si>
  <si>
    <t>PENGELUARAN SUBKON</t>
  </si>
  <si>
    <t>CASH IN HAND</t>
  </si>
  <si>
    <t>Pulsa simpati AHS</t>
  </si>
  <si>
    <t>BBM ke bu dewi dan pak teddy</t>
  </si>
  <si>
    <t>BBM ke Balai PU</t>
  </si>
  <si>
    <t>BBM pak jenny, hamsyah, beli sofa</t>
  </si>
  <si>
    <t>makan siang ke balai 2 orang</t>
  </si>
  <si>
    <t>parkir pakuwon</t>
  </si>
  <si>
    <t>makan siang survei</t>
  </si>
  <si>
    <t>makan siang dng pak azka</t>
  </si>
  <si>
    <t xml:space="preserve">makan malam 3 orang </t>
  </si>
  <si>
    <t>ADD HALEYORA</t>
  </si>
  <si>
    <t>makan siang &amp; Malam Balai + Haleyora</t>
  </si>
  <si>
    <t>SALDO BSI</t>
  </si>
  <si>
    <t>T2 SUBKON LANTAI 3</t>
  </si>
  <si>
    <t>Pembayaran E sim</t>
  </si>
  <si>
    <t>BBM survei filtrona + Ardian</t>
  </si>
  <si>
    <t>perpanjangan google drive + gemini AI</t>
  </si>
  <si>
    <t xml:space="preserve">Penggantian tali sling </t>
  </si>
  <si>
    <t>HANGGAR BALAI</t>
  </si>
  <si>
    <t>gosend tali sling</t>
  </si>
  <si>
    <t>rembush pengeluaran inayah</t>
  </si>
  <si>
    <t>DP SUBKON BALI</t>
  </si>
  <si>
    <t>T2 VENDOR</t>
  </si>
  <si>
    <t>LAIN-LAIN</t>
  </si>
  <si>
    <t>RAB incl ppn</t>
  </si>
  <si>
    <t>PPN</t>
  </si>
  <si>
    <t>T3  SUBKON LANTAI 2</t>
  </si>
  <si>
    <t>BBM ke sda citra garden, Balai PU</t>
  </si>
  <si>
    <t>pelindung layar + sarung iphone + braket</t>
  </si>
  <si>
    <t xml:space="preserve">parkir ke gramedia stampel </t>
  </si>
  <si>
    <t>minuman bertemu pak Azka + mutiara</t>
  </si>
  <si>
    <t>Makan siang sosmed pak syahru 3 orang</t>
  </si>
  <si>
    <t xml:space="preserve">Stampel </t>
  </si>
  <si>
    <t>booster tandon bu dewi</t>
  </si>
  <si>
    <t>DEWI</t>
  </si>
  <si>
    <t>perpanjangan proyekid pak ricky</t>
  </si>
  <si>
    <t>makan siang survei citra garden 2 orang</t>
  </si>
  <si>
    <t>4 galon kantor</t>
  </si>
  <si>
    <t xml:space="preserve">materai 50 lembar </t>
  </si>
  <si>
    <t>SPK DESAIN II</t>
  </si>
  <si>
    <t>DP SPK II</t>
  </si>
  <si>
    <t>DESAIN BPK HAMSJAH</t>
  </si>
  <si>
    <t>DESAIN HAMSJAH</t>
  </si>
  <si>
    <t>PROYEK BPK IPUT</t>
  </si>
  <si>
    <t>DP SPK</t>
  </si>
  <si>
    <t>IPUT</t>
  </si>
  <si>
    <t>DESAIN IBU DEWI K24</t>
  </si>
  <si>
    <t>survei Situbondo pak azka</t>
  </si>
  <si>
    <t>TOMORO SITUBONDO</t>
  </si>
  <si>
    <t>Pulsa simpati kantor</t>
  </si>
  <si>
    <t>minuman keliling sosmed pak azka</t>
  </si>
  <si>
    <t>minuman sosmed</t>
  </si>
  <si>
    <t>minuman aqua tanggung 2 krat</t>
  </si>
  <si>
    <t>makan siang bertemu pak rizky PU</t>
  </si>
  <si>
    <t>BBM ke PU, PAL antar cat</t>
  </si>
  <si>
    <t>2 rim HVS A4</t>
  </si>
  <si>
    <t>SALLARY</t>
  </si>
  <si>
    <t xml:space="preserve">BBM ke krian </t>
  </si>
  <si>
    <t>makan siang ke citra garden</t>
  </si>
  <si>
    <t>ABOEL BASUKI</t>
  </si>
  <si>
    <t>BBM ke citra garden</t>
  </si>
  <si>
    <t>minuman bertemu dzaki tomoro</t>
  </si>
  <si>
    <t>cuci mobil avanza putih</t>
  </si>
  <si>
    <t>DP 1</t>
  </si>
  <si>
    <t>DP 2</t>
  </si>
  <si>
    <t>LUNAS 2</t>
  </si>
  <si>
    <t>LUNAS 1</t>
  </si>
  <si>
    <t>transfer pak Azka</t>
  </si>
  <si>
    <t>etoll citra garden</t>
  </si>
  <si>
    <t>TOTAL OPERASIONAL PROYEK</t>
  </si>
  <si>
    <t>OPERASIONAL KANTOR</t>
  </si>
  <si>
    <t>TAGIHAN KANTOR</t>
  </si>
  <si>
    <t>sumur bor air tanah bpk Fauzan solo</t>
  </si>
  <si>
    <t>FAUZAN SOLO</t>
  </si>
  <si>
    <t>pelunasan sumur bor bpk Fauzan solo</t>
  </si>
  <si>
    <t>ADD SUBKON</t>
  </si>
  <si>
    <t>DP Bongkar</t>
  </si>
  <si>
    <t>LUNAS SEKAT MEETING</t>
  </si>
  <si>
    <t>SUBKON HERMAN</t>
  </si>
  <si>
    <t>SUBKON SODIN</t>
  </si>
  <si>
    <t>SUBKON AINUN</t>
  </si>
  <si>
    <t>SUBKON SHODIQ</t>
  </si>
  <si>
    <t>Service update Proyekid</t>
  </si>
  <si>
    <t>PROYEKID</t>
  </si>
  <si>
    <t>BBM ke pak iput geluran + agus+ balai PU</t>
  </si>
  <si>
    <t>minuman ke pak iput</t>
  </si>
  <si>
    <t>makan siang 3 orang bertemu pak rizky PU</t>
  </si>
  <si>
    <t>paket dokumen PU Madiun</t>
  </si>
  <si>
    <t>PU MADIUN</t>
  </si>
  <si>
    <t>tiang + bendera kantor</t>
  </si>
  <si>
    <t>perpanjangan centang biru IG AKP</t>
  </si>
  <si>
    <t>pembayaran indihome 4G/5G</t>
  </si>
  <si>
    <t>ADD VENDOR</t>
  </si>
  <si>
    <t>FEE SPK LANTAI 3</t>
  </si>
  <si>
    <t>3 galon aqua</t>
  </si>
  <si>
    <t>makan siang 2 orang ke balai PU</t>
  </si>
  <si>
    <t>TOTAL PEMBAYARAN KE VENDOR</t>
  </si>
  <si>
    <t>NAMA VENDOR</t>
  </si>
  <si>
    <t>TERBAYAR</t>
  </si>
  <si>
    <t>SPK 1 LANTAI 2</t>
  </si>
  <si>
    <t>SPK 2 LANTAI 3</t>
  </si>
  <si>
    <t>SPK 3 LANTAI 1</t>
  </si>
  <si>
    <t>SPK 4 BALI</t>
  </si>
  <si>
    <t>SODIN</t>
  </si>
  <si>
    <t>TARMONO</t>
  </si>
  <si>
    <t>SHODIQ</t>
  </si>
  <si>
    <t>SPK RUANG MEETING LUAR KPIJ</t>
  </si>
  <si>
    <t>KONTRAK DILUAR PP</t>
  </si>
  <si>
    <t>T3 SUBKON LANTAI 2</t>
  </si>
  <si>
    <t>T3 SUBKON LANTAI 3</t>
  </si>
  <si>
    <t>T1 SUBKON R MEETING</t>
  </si>
  <si>
    <t>SUBKON MJM DEKORATION</t>
  </si>
  <si>
    <t>AINUN</t>
  </si>
  <si>
    <t>SPK 1 LOBBY BALI</t>
  </si>
  <si>
    <t>PPH 1,75 %</t>
  </si>
  <si>
    <t>SPK 5 R. MEETING KPIJ</t>
  </si>
  <si>
    <t>fotocopy compro</t>
  </si>
  <si>
    <t>SPK BROSUR</t>
  </si>
  <si>
    <t>LUNAS BROSUR</t>
  </si>
  <si>
    <t>obat-obatan kantor</t>
  </si>
  <si>
    <t>RETENSI CASH</t>
  </si>
  <si>
    <t>makan siang team arsitek lembur</t>
  </si>
  <si>
    <t>DP brosur proyek perumj bpk Arief</t>
  </si>
  <si>
    <t>Proyekid bpk Iput</t>
  </si>
  <si>
    <t>makan siang 3 orang presentasi balai PU Aula</t>
  </si>
  <si>
    <t>stampel Akstudio baru + cemilan kantor</t>
  </si>
  <si>
    <t>zoom konsultasi desain bu dewi</t>
  </si>
  <si>
    <t>DESAIN DEWI</t>
  </si>
  <si>
    <t>paket simapati AHS</t>
  </si>
  <si>
    <t>Pelunasan</t>
  </si>
  <si>
    <t>DP vendor</t>
  </si>
  <si>
    <t>T2 SUBKON LANTAI 1</t>
  </si>
  <si>
    <t>T3 SPK LANTAI 3</t>
  </si>
  <si>
    <t>T2 SPK LANTAI 3</t>
  </si>
  <si>
    <t>SALARY AGUNG</t>
  </si>
  <si>
    <t>T1 SPK LANTAI 1</t>
  </si>
  <si>
    <t>akun AHS untuk webbinar</t>
  </si>
  <si>
    <t>bbm bertemu bu dewi &amp; pak adi di balai</t>
  </si>
  <si>
    <t>makan malam lembur kantor desain PAL</t>
  </si>
  <si>
    <t>bbm konten di pak syahru</t>
  </si>
  <si>
    <t>makan siang 3 orang konten</t>
  </si>
  <si>
    <t>3 galon aqua kantor</t>
  </si>
  <si>
    <t>DESAIN DEWI K24</t>
  </si>
  <si>
    <t>TERMIN 2</t>
  </si>
  <si>
    <t xml:space="preserve">BBM survei bpk Sigit </t>
  </si>
  <si>
    <t>DESAIN YURIS</t>
  </si>
  <si>
    <t>DESAIN ARIEF</t>
  </si>
  <si>
    <t>BBM ambil booklet ibu Yuris</t>
  </si>
  <si>
    <t>bbm deni bertemu DR molis</t>
  </si>
  <si>
    <t>makan malam lembur denny + anak magang</t>
  </si>
  <si>
    <t>makan siang survei bpk sigit</t>
  </si>
  <si>
    <t>booklet desain ibu Yuris</t>
  </si>
  <si>
    <t>OPERASIONAL PROYEK BSI</t>
  </si>
  <si>
    <t>OPERASIONAL PROYEK DILUAR BSI</t>
  </si>
  <si>
    <t>BIAYA OPERASIONAL</t>
  </si>
  <si>
    <t>KURANG BAYAR VENDOR</t>
  </si>
  <si>
    <t>OPERASIONAL PROYEK NON BSI</t>
  </si>
  <si>
    <t>SPK 2 KASATKER BALI</t>
  </si>
  <si>
    <t>OPERASIONAL + GAJI PENGAWAS</t>
  </si>
  <si>
    <t>SALLARY 2026</t>
  </si>
  <si>
    <t>TAGIHAN KANTOR 2026</t>
  </si>
  <si>
    <t>OPERASIONAL KANTOR 2026</t>
  </si>
  <si>
    <t>IKLAN SOSMED 2026</t>
  </si>
  <si>
    <t>KASBON SUBKON BALI</t>
  </si>
  <si>
    <t>KASBON SPK LANTAI 3</t>
  </si>
  <si>
    <t>PROYEKSI KAS BESAR BSI 2026</t>
  </si>
  <si>
    <t>SISA MARGIN 2026</t>
  </si>
  <si>
    <t>beli minuman kantor + tissue</t>
  </si>
  <si>
    <t>4 galon aqua kantor</t>
  </si>
  <si>
    <t>makan siang konten 3 orang</t>
  </si>
  <si>
    <t>bbm konten sidoarjo</t>
  </si>
  <si>
    <t>pemasangan cctv di pak iput ( kartu + kabel )</t>
  </si>
  <si>
    <t>survei pondok maritim, sukodono</t>
  </si>
  <si>
    <t>snack kantor</t>
  </si>
  <si>
    <t>pelunasan brosur bpk arief</t>
  </si>
  <si>
    <t>makan siang survei ngagel</t>
  </si>
  <si>
    <t>gojek mutia ke kantor</t>
  </si>
  <si>
    <t>gojek meter digital ke kantor</t>
  </si>
  <si>
    <t>PROYEK DESAIN IBU LINDA  RUMAH 2 LANTAI</t>
  </si>
  <si>
    <t>PROYEK DESAIN INTERIOR BPK SIGIT</t>
  </si>
  <si>
    <t>PROYEK DESAIN RUANG BELAKANG IBU DESY</t>
  </si>
  <si>
    <t>PROYEK DESAIN RUMAH 2 LANTAI DOKTER MOLIS</t>
  </si>
  <si>
    <t>DESAIN IBU LINDA</t>
  </si>
  <si>
    <t>DESAIN BPK SIGIT GEDANGAN</t>
  </si>
  <si>
    <t>DESAIN IBU DESY</t>
  </si>
  <si>
    <t>DESAIN DR MOLIS</t>
  </si>
  <si>
    <t>DESAIN MOLIS</t>
  </si>
  <si>
    <t>DESAIN LINDA</t>
  </si>
  <si>
    <t>DESAIN SIGIT GELURAN</t>
  </si>
  <si>
    <t>DESAIN IBU ERLIS</t>
  </si>
  <si>
    <t>PROYEK DESAIN RUMAH 2 LANTAI IBU ERLIS</t>
  </si>
  <si>
    <t>DESAIN ERLIS</t>
  </si>
  <si>
    <t>BBM survei ke krembangan dan PAL</t>
  </si>
  <si>
    <t>Pindah meteran bpk Syahru</t>
  </si>
  <si>
    <t>DP sticker mobil akstudio</t>
  </si>
  <si>
    <t>SYAHRU</t>
  </si>
  <si>
    <t>diambil dr Proyek madiun</t>
  </si>
  <si>
    <t>bbm bertemu klien Dr Molis</t>
  </si>
  <si>
    <t>Transfer DP update aplikasi ProyekID</t>
  </si>
  <si>
    <t>DP update aplikasi ProyekID</t>
  </si>
  <si>
    <t>BCA</t>
  </si>
  <si>
    <t>REKENING</t>
  </si>
  <si>
    <t>REKENING ATAS NAMA</t>
  </si>
  <si>
    <t>0310438880</t>
  </si>
  <si>
    <t>KASBON SPK LANSCAPE</t>
  </si>
  <si>
    <t>SUBKON KOHAR</t>
  </si>
  <si>
    <t>KASBON T2 SUBKON R MEETING</t>
  </si>
  <si>
    <t>BBM survei wiyung</t>
  </si>
  <si>
    <t>pelunasan sticker branding mobil AKP</t>
  </si>
  <si>
    <t>fotocopy SPK Irsandi</t>
  </si>
  <si>
    <t>BBM ke citra garden, filtrona, irsandi</t>
  </si>
  <si>
    <t>makan siang ke bpk Irsandi</t>
  </si>
  <si>
    <t>PROYEK BPK IRSANDI</t>
  </si>
  <si>
    <t>UTJ SPK</t>
  </si>
  <si>
    <t>IRSANDI</t>
  </si>
  <si>
    <t>BBM bertemu dr Molis di RS Oetomo</t>
  </si>
  <si>
    <t>makan siang bertemu dr Molis</t>
  </si>
  <si>
    <t>Makan malam lembur bpk Aboel</t>
  </si>
  <si>
    <t>sabun + pembersih kantor</t>
  </si>
  <si>
    <t>sendok makan kantor</t>
  </si>
  <si>
    <t>2 rim HVS A4 80 g</t>
  </si>
  <si>
    <t>makan siang kantor bersama 13 orang</t>
  </si>
  <si>
    <t>makan siang 3 orang pak wira</t>
  </si>
  <si>
    <t>SPK II TIPE 2 RUMAH</t>
  </si>
  <si>
    <t>DP SPK2</t>
  </si>
  <si>
    <t>SPK LANSCAPE BALAI PU</t>
  </si>
  <si>
    <t>KOHAR</t>
  </si>
  <si>
    <t>KASBON SUBKON LANTAI 2</t>
  </si>
  <si>
    <t>KASBON VENDOR</t>
  </si>
  <si>
    <t>makan siang 4 orang pak azka</t>
  </si>
  <si>
    <t>bbm konten ke pak Ricky wiyung + ke Balai PU</t>
  </si>
  <si>
    <t>FEE SPK LANTAI 1</t>
  </si>
  <si>
    <t>FEE SPK RUANG MEETING LUAR KPIJ</t>
  </si>
  <si>
    <t>reimbush pengeluaran inayah sosmed</t>
  </si>
  <si>
    <t>etoll ke pak frizqi candi + survei sda + Balai PU</t>
  </si>
  <si>
    <t>BBM ke pak frizqi candi + survei sda + Balai PU</t>
  </si>
  <si>
    <t>minum + makan survei bertemu pak frizqi</t>
  </si>
  <si>
    <t>BBM ke pak jenny BAST</t>
  </si>
  <si>
    <t>Fotocopy desain lama ibu Nike</t>
  </si>
  <si>
    <t>Makan Malam lembur proyek Aboel</t>
  </si>
  <si>
    <t>PROYEK INTERIOR BPK FRIZQI</t>
  </si>
  <si>
    <t>SPK KAMAR DEPAN</t>
  </si>
  <si>
    <t>SPK KAMAR BELAKANG</t>
  </si>
  <si>
    <t>INTERIOR FRIZQI</t>
  </si>
  <si>
    <t>PELUNASAN SUBKON R MEETING</t>
  </si>
  <si>
    <t>PROYEK DESAIN RUMAH 2 LANTAI BPK JONI</t>
  </si>
  <si>
    <t>PROYEK DESAIN RUMAH 2 LANTAI IBU NIKE</t>
  </si>
  <si>
    <t>DESAIN NIKE</t>
  </si>
  <si>
    <t>DESAIN JONI</t>
  </si>
  <si>
    <t>PROYEKID bpk sandi</t>
  </si>
  <si>
    <t>transfer pak azka bayar vendor MEP</t>
  </si>
  <si>
    <t>pembayaran vendor MEP</t>
  </si>
  <si>
    <t xml:space="preserve">TERMIN 1 </t>
  </si>
  <si>
    <t>ADD</t>
  </si>
  <si>
    <t>Perpanjangan proyekid bpk iput</t>
  </si>
  <si>
    <t>scan denah desain ibu Nike</t>
  </si>
  <si>
    <t>BBM konten ke PAL</t>
  </si>
  <si>
    <t>TERMIN II</t>
  </si>
  <si>
    <t>PROYEK DESAIN ME RUMAH 3 LANTAI BPK ANGGA</t>
  </si>
  <si>
    <t>DESAIN ANGGA</t>
  </si>
  <si>
    <t>PELUNASAN DP LANSCAPE</t>
  </si>
  <si>
    <t>PELUNASAN SPK LANTAI 2</t>
  </si>
  <si>
    <t>KASBON SPK LANTAI 1</t>
  </si>
  <si>
    <t>SPK LANSCAPE</t>
  </si>
  <si>
    <t>akun ahs untuk konten</t>
  </si>
  <si>
    <t>BBM survei ulang bu Nike</t>
  </si>
  <si>
    <t>isolasi + klem pak syahru</t>
  </si>
  <si>
    <t>pembelian plugin autocad</t>
  </si>
  <si>
    <t>langanan chatgpt desain</t>
  </si>
  <si>
    <t>revisi roller blain balai PU KPIJ</t>
  </si>
  <si>
    <t>pulsa simpati AHS</t>
  </si>
  <si>
    <t>makan siang 2 orang bertemu bu intan balai PU</t>
  </si>
  <si>
    <t>makan siang BAST bpk Nur Krian</t>
  </si>
  <si>
    <t>BBM BAST bpk Nur krian</t>
  </si>
  <si>
    <t>bbm survei ibu lintang pocan</t>
  </si>
  <si>
    <t>makan malam 9 orang kantor</t>
  </si>
  <si>
    <t>pembelian kepala charger + kabel iphone kantor</t>
  </si>
  <si>
    <t>SALARY DAFA</t>
  </si>
  <si>
    <t>SALARY FERY</t>
  </si>
  <si>
    <t>SALARY PENGAWAS</t>
  </si>
  <si>
    <t>iuran satpam kantor karah</t>
  </si>
  <si>
    <t>PROYEK DESAIN RUMAH 2 LANTAI IBU SAZA</t>
  </si>
  <si>
    <t>T2 SPK LANTAI 1</t>
  </si>
  <si>
    <t>DESAIN SAZA</t>
  </si>
  <si>
    <t>PROYEK DESAIN RUMAH 2 LANTAI IBU INGE</t>
  </si>
  <si>
    <t>DESAIN INGE</t>
  </si>
  <si>
    <t>OPERASINAL</t>
  </si>
  <si>
    <t>2 krat minuman kantor</t>
  </si>
  <si>
    <t>makan siang 2 orang bertemu dr Molis</t>
  </si>
  <si>
    <t>2 air aqua</t>
  </si>
  <si>
    <t>AHS pryek JIPE</t>
  </si>
  <si>
    <t>JIPE</t>
  </si>
  <si>
    <t>Parkir sutomo</t>
  </si>
  <si>
    <t>bbm konten balai</t>
  </si>
  <si>
    <t>makan siang 3 orang</t>
  </si>
  <si>
    <t>cemilan ke gresik 3 orang</t>
  </si>
  <si>
    <t>BBM survei gresik</t>
  </si>
  <si>
    <t>makan siang 3 orang survei bu ayu</t>
  </si>
  <si>
    <t>makan siang 2 orang survei merr</t>
  </si>
  <si>
    <t>makan siang survei sukolilo</t>
  </si>
  <si>
    <t>bbm survei</t>
  </si>
  <si>
    <t>ngopi dengan sodin</t>
  </si>
  <si>
    <t>makan siang meeting PU</t>
  </si>
  <si>
    <t>bbm PU dan Pak syahru</t>
  </si>
  <si>
    <t>makan malam bertemu pak syahru</t>
  </si>
  <si>
    <t>service AC ruang meting lantai 1 kantor</t>
  </si>
  <si>
    <t>makan siang 3 orang survei bubutan, ttd SPK lintang</t>
  </si>
  <si>
    <t>LINTANG</t>
  </si>
  <si>
    <t>PROYEK RENOVASI IBU LINTANG</t>
  </si>
  <si>
    <t>TRANSFER AZKA</t>
  </si>
  <si>
    <t>100jt TF, 60jt cash syahru</t>
  </si>
  <si>
    <t>Kohar</t>
  </si>
  <si>
    <t>kasbon vendor progres 30%</t>
  </si>
  <si>
    <t>kasbon vendor PU lanscape progres 35%</t>
  </si>
  <si>
    <t>Slamet</t>
  </si>
  <si>
    <t>Shodiq</t>
  </si>
  <si>
    <t>kasbon vendor PU Bali progres 100%</t>
  </si>
  <si>
    <t>Sodin</t>
  </si>
  <si>
    <t>Kasbon vendor PU Lantai 3</t>
  </si>
  <si>
    <t>IG</t>
  </si>
  <si>
    <t>Iklan IG AKP</t>
  </si>
  <si>
    <t>CIH</t>
  </si>
  <si>
    <t>Kas + pelunasan Minus</t>
  </si>
  <si>
    <t>KAS IN HAND</t>
  </si>
  <si>
    <t>kasbon vendor PU Bali progres 95%</t>
  </si>
  <si>
    <t>kasbon vendor PU lanscape progres 25%</t>
  </si>
  <si>
    <t>Tarmono - ainun</t>
  </si>
  <si>
    <t>Kasbon vendor PU Lantai 3 progres 100%</t>
  </si>
  <si>
    <t>Kasbon vendor PU Lantai 1 progres 100%</t>
  </si>
  <si>
    <t>Pelunasan DP vendor</t>
  </si>
  <si>
    <t>Pelunasan DP vendor PU lanscape</t>
  </si>
  <si>
    <t>Pelunasan vendor progres 100%</t>
  </si>
  <si>
    <t>Pelunasan vendor PU lantai 2 progres 100%</t>
  </si>
  <si>
    <t>kasbon vendor PU Bali progres 90%</t>
  </si>
  <si>
    <t>PROGRES (%)</t>
  </si>
  <si>
    <t>Kontrol</t>
  </si>
  <si>
    <t>CASH FLOW</t>
  </si>
  <si>
    <t>A</t>
  </si>
  <si>
    <t>PROYEK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</si>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</sst>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21]dd\ mmmm\ yyyy;@"/>
    <numFmt numFmtId="166" formatCode="_([$IDR]\ * #,##0.00_);[Red]_([$IDR]\ * \(#,##0.00\);_([$IDR]\ * &quot;-&quot;??_);_(@_)"/>
    <numFmt numFmtId="167" formatCode="_([$Rp]\ * #,##0.00_);[Red]_([$Rp]\ * \(#,##0.00\);_([$Rp]\ * &quot;-&quot;??_);_(@_)"/>
    <numFmt numFmtId="168" formatCode="#,##0.00_ ;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FF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1" applyFont="1" applyBorder="1"/>
    <xf numFmtId="43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4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43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1" applyFont="1" applyBorder="1"/>
    <xf numFmtId="0" fontId="7" fillId="0" borderId="0" xfId="0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wrapText="1" shrinkToFit="1"/>
    </xf>
    <xf numFmtId="0" fontId="3" fillId="0" borderId="1" xfId="0" applyFont="1" applyBorder="1" applyAlignment="1">
      <alignment horizontal="left"/>
    </xf>
    <xf numFmtId="10" fontId="4" fillId="0" borderId="1" xfId="2" applyNumberFormat="1" applyFont="1" applyBorder="1"/>
    <xf numFmtId="43" fontId="3" fillId="0" borderId="0" xfId="0" applyNumberFormat="1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164" fontId="4" fillId="0" borderId="4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5" xfId="1" applyFont="1" applyBorder="1"/>
    <xf numFmtId="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8" fontId="8" fillId="0" borderId="2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6" fontId="5" fillId="0" borderId="0" xfId="0" applyNumberFormat="1" applyFont="1" applyBorder="1"/>
    <xf numFmtId="0" fontId="5" fillId="0" borderId="0" xfId="0" applyFont="1" applyAlignment="1"/>
    <xf numFmtId="164" fontId="4" fillId="0" borderId="2" xfId="1" applyFont="1" applyBorder="1" applyAlignment="1"/>
    <xf numFmtId="164" fontId="4" fillId="0" borderId="6" xfId="1" applyFont="1" applyBorder="1" applyAlignment="1"/>
    <xf numFmtId="164" fontId="4" fillId="0" borderId="3" xfId="1" applyFont="1" applyBorder="1" applyAlignment="1"/>
    <xf numFmtId="0" fontId="0" fillId="0" borderId="10" xfId="0" applyFill="1" applyBorder="1"/>
    <xf numFmtId="164" fontId="4" fillId="0" borderId="10" xfId="0" applyNumberFormat="1" applyFont="1" applyFill="1" applyBorder="1"/>
    <xf numFmtId="164" fontId="4" fillId="0" borderId="5" xfId="0" applyNumberFormat="1" applyFont="1" applyFill="1" applyBorder="1"/>
    <xf numFmtId="164" fontId="2" fillId="0" borderId="10" xfId="1" applyFont="1" applyBorder="1"/>
    <xf numFmtId="164" fontId="4" fillId="0" borderId="10" xfId="0" applyNumberFormat="1" applyFont="1" applyBorder="1"/>
    <xf numFmtId="0" fontId="0" fillId="0" borderId="5" xfId="0" applyBorder="1"/>
    <xf numFmtId="0" fontId="0" fillId="0" borderId="5" xfId="0" applyBorder="1" applyAlignment="1">
      <alignment horizontal="left"/>
    </xf>
    <xf numFmtId="4" fontId="2" fillId="0" borderId="5" xfId="1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2" fillId="2" borderId="11" xfId="0" applyFont="1" applyFill="1" applyBorder="1" applyAlignment="1">
      <alignment horizontal="left"/>
    </xf>
    <xf numFmtId="164" fontId="2" fillId="2" borderId="11" xfId="1" applyFont="1" applyFill="1" applyBorder="1"/>
    <xf numFmtId="164" fontId="2" fillId="0" borderId="11" xfId="1" applyFont="1" applyFill="1" applyBorder="1"/>
    <xf numFmtId="0" fontId="2" fillId="2" borderId="11" xfId="0" applyFont="1" applyFill="1" applyBorder="1"/>
    <xf numFmtId="0" fontId="2" fillId="0" borderId="11" xfId="0" applyFont="1" applyBorder="1" applyAlignment="1">
      <alignment horizontal="left"/>
    </xf>
    <xf numFmtId="164" fontId="2" fillId="0" borderId="11" xfId="1" applyFont="1" applyBorder="1"/>
    <xf numFmtId="4" fontId="2" fillId="0" borderId="11" xfId="1" applyNumberFormat="1" applyFont="1" applyFill="1" applyBorder="1" applyAlignment="1">
      <alignment horizontal="center" vertical="center"/>
    </xf>
    <xf numFmtId="164" fontId="2" fillId="0" borderId="12" xfId="1" applyFont="1" applyBorder="1" applyAlignment="1"/>
    <xf numFmtId="164" fontId="2" fillId="0" borderId="13" xfId="1" applyFont="1" applyBorder="1" applyAlignment="1"/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Fill="1" applyBorder="1" applyAlignment="1">
      <alignment horizontal="center"/>
    </xf>
    <xf numFmtId="164" fontId="2" fillId="0" borderId="12" xfId="1" applyFont="1" applyBorder="1"/>
    <xf numFmtId="164" fontId="2" fillId="0" borderId="13" xfId="1" applyFont="1" applyBorder="1"/>
    <xf numFmtId="164" fontId="2" fillId="0" borderId="14" xfId="1" applyFont="1" applyBorder="1"/>
    <xf numFmtId="164" fontId="2" fillId="0" borderId="11" xfId="1" applyFont="1" applyBorder="1" applyAlignment="1"/>
    <xf numFmtId="9" fontId="2" fillId="2" borderId="11" xfId="2" applyFont="1" applyFill="1" applyBorder="1" applyAlignment="1">
      <alignment horizontal="center" vertical="center"/>
    </xf>
    <xf numFmtId="9" fontId="2" fillId="0" borderId="1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165" fontId="4" fillId="0" borderId="10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/>
    <xf numFmtId="0" fontId="4" fillId="4" borderId="11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09A9-84CC-4044-801A-DC4491D4FA03}">
  <dimension ref="A1:Q50"/>
  <sheetViews>
    <sheetView tabSelected="1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6" sqref="I16"/>
    </sheetView>
  </sheetViews>
  <sheetFormatPr defaultRowHeight="14.4" x14ac:dyDescent="0.3"/>
  <cols>
    <col min="1" max="1" width="8.21875" customWidth="1"/>
    <col min="2" max="2" width="36.109375" style="26" customWidth="1"/>
    <col min="3" max="3" width="26.77734375" bestFit="1" customWidth="1"/>
    <col min="4" max="4" width="22.77734375" bestFit="1" customWidth="1"/>
    <col min="5" max="5" width="20.5546875" bestFit="1" customWidth="1"/>
    <col min="6" max="6" width="22.77734375" bestFit="1" customWidth="1"/>
    <col min="7" max="7" width="20.5546875" bestFit="1" customWidth="1"/>
    <col min="8" max="8" width="1.109375" customWidth="1"/>
    <col min="9" max="9" width="15.44140625" bestFit="1" customWidth="1"/>
    <col min="10" max="10" width="39.77734375" bestFit="1" customWidth="1"/>
    <col min="11" max="11" width="1.21875" customWidth="1"/>
    <col min="12" max="13" width="22.77734375" bestFit="1" customWidth="1"/>
    <col min="14" max="14" width="19.109375" bestFit="1" customWidth="1"/>
    <col min="15" max="15" width="20.5546875" bestFit="1" customWidth="1"/>
    <col min="16" max="16" width="38.6640625" bestFit="1" customWidth="1"/>
    <col min="17" max="17" width="26.77734375" bestFit="1" customWidth="1"/>
    <col min="18" max="18" width="16.109375" customWidth="1"/>
  </cols>
  <sheetData>
    <row r="1" spans="1:17" ht="21" x14ac:dyDescent="0.4">
      <c r="A1" s="53" t="s">
        <v>45</v>
      </c>
      <c r="B1" s="53"/>
      <c r="C1" s="53"/>
      <c r="D1" s="53"/>
      <c r="E1" s="27"/>
      <c r="F1" s="72"/>
      <c r="G1" s="72"/>
      <c r="H1" s="27"/>
      <c r="I1" s="27"/>
      <c r="J1" s="72" t="s">
        <v>283</v>
      </c>
      <c r="K1" s="72"/>
      <c r="L1" s="72"/>
      <c r="M1" s="72"/>
      <c r="N1" s="72"/>
      <c r="O1" s="72"/>
      <c r="P1" s="72"/>
      <c r="Q1" s="72"/>
    </row>
    <row r="2" spans="1:17" ht="21" x14ac:dyDescent="0.4">
      <c r="A2" s="2"/>
      <c r="B2" s="23"/>
      <c r="C2" s="2"/>
      <c r="D2" s="2"/>
      <c r="E2" s="2"/>
      <c r="H2" s="2"/>
      <c r="I2" s="2"/>
      <c r="J2" s="2"/>
      <c r="K2" s="2"/>
      <c r="L2" s="2"/>
      <c r="M2" s="2"/>
      <c r="N2" s="2"/>
      <c r="O2" s="2"/>
      <c r="P2" s="2"/>
    </row>
    <row r="3" spans="1:17" ht="34.200000000000003" customHeight="1" x14ac:dyDescent="0.3">
      <c r="A3" s="102" t="s">
        <v>0</v>
      </c>
      <c r="B3" s="102" t="s">
        <v>78</v>
      </c>
      <c r="C3" s="103" t="s">
        <v>454</v>
      </c>
      <c r="D3" s="104"/>
      <c r="E3" s="104"/>
      <c r="F3" s="104"/>
      <c r="G3" s="105"/>
      <c r="H3" s="106"/>
      <c r="I3" s="102" t="s">
        <v>452</v>
      </c>
      <c r="J3" s="102" t="s">
        <v>225</v>
      </c>
      <c r="K3" s="107"/>
      <c r="L3" s="108" t="s">
        <v>55</v>
      </c>
      <c r="M3" s="109"/>
      <c r="N3" s="109"/>
      <c r="O3" s="109"/>
      <c r="P3" s="110"/>
      <c r="Q3" s="102" t="s">
        <v>89</v>
      </c>
    </row>
    <row r="4" spans="1:17" ht="36" x14ac:dyDescent="0.3">
      <c r="A4" s="111"/>
      <c r="B4" s="111"/>
      <c r="C4" s="107" t="s">
        <v>50</v>
      </c>
      <c r="D4" s="107" t="s">
        <v>51</v>
      </c>
      <c r="E4" s="112" t="s">
        <v>453</v>
      </c>
      <c r="F4" s="107" t="s">
        <v>85</v>
      </c>
      <c r="G4" s="107" t="s">
        <v>91</v>
      </c>
      <c r="H4" s="113"/>
      <c r="I4" s="111"/>
      <c r="J4" s="111"/>
      <c r="K4" s="114"/>
      <c r="L4" s="107" t="s">
        <v>7</v>
      </c>
      <c r="M4" s="107" t="s">
        <v>81</v>
      </c>
      <c r="N4" s="107" t="s">
        <v>210</v>
      </c>
      <c r="O4" s="107" t="s">
        <v>13</v>
      </c>
      <c r="P4" s="115" t="s">
        <v>276</v>
      </c>
      <c r="Q4" s="111"/>
    </row>
    <row r="5" spans="1:17" ht="18" x14ac:dyDescent="0.35">
      <c r="A5" s="118" t="s">
        <v>455</v>
      </c>
      <c r="B5" s="119" t="s">
        <v>456</v>
      </c>
      <c r="C5" s="116"/>
      <c r="D5" s="116"/>
      <c r="E5" s="117"/>
      <c r="F5" s="116"/>
      <c r="G5" s="116"/>
      <c r="H5" s="95"/>
      <c r="I5" s="94"/>
      <c r="J5" s="94"/>
      <c r="K5" s="94"/>
      <c r="L5" s="116"/>
      <c r="M5" s="116"/>
      <c r="N5" s="116"/>
      <c r="O5" s="116"/>
      <c r="P5" s="122"/>
      <c r="Q5" s="94"/>
    </row>
    <row r="6" spans="1:17" ht="18" x14ac:dyDescent="0.35">
      <c r="A6" s="88">
        <v>1</v>
      </c>
      <c r="B6" s="85" t="s">
        <v>38</v>
      </c>
      <c r="C6" s="86">
        <f>ford!D22</f>
        <v>20000000</v>
      </c>
      <c r="D6" s="86">
        <f>ford!F22</f>
        <v>18750000</v>
      </c>
      <c r="E6" s="86">
        <f>C6-D6</f>
        <v>1250000</v>
      </c>
      <c r="F6" s="86">
        <f>ford!D22</f>
        <v>20000000</v>
      </c>
      <c r="G6" s="86">
        <f>J6-F6</f>
        <v>0</v>
      </c>
      <c r="H6" s="87"/>
      <c r="I6" s="100">
        <f>(1- G6/J6)</f>
        <v>1</v>
      </c>
      <c r="J6" s="86">
        <f>ford!D9</f>
        <v>20000000</v>
      </c>
      <c r="K6" s="87"/>
      <c r="L6" s="86">
        <f>SUM(M6:P6)</f>
        <v>18750000</v>
      </c>
      <c r="M6" s="86">
        <f>ford!E9</f>
        <v>17500000</v>
      </c>
      <c r="N6" s="86"/>
      <c r="O6" s="86">
        <f>ford!F9</f>
        <v>1250000</v>
      </c>
      <c r="P6" s="86"/>
      <c r="Q6" s="86">
        <f>J6-L6</f>
        <v>1250000</v>
      </c>
    </row>
    <row r="7" spans="1:17" ht="18" x14ac:dyDescent="0.35">
      <c r="A7" s="88">
        <f>A6+1</f>
        <v>2</v>
      </c>
      <c r="B7" s="85" t="s">
        <v>41</v>
      </c>
      <c r="C7" s="86">
        <f>'D. SENDI RSAL'!D22</f>
        <v>4551200</v>
      </c>
      <c r="D7" s="86">
        <f>'D. SENDI RSAL'!F22</f>
        <v>0</v>
      </c>
      <c r="E7" s="86">
        <f>C7-D7</f>
        <v>4551200</v>
      </c>
      <c r="F7" s="86">
        <f>'D. SENDI RSAL'!D22</f>
        <v>4551200</v>
      </c>
      <c r="G7" s="86">
        <f>J7-F7</f>
        <v>0</v>
      </c>
      <c r="H7" s="87"/>
      <c r="I7" s="100">
        <v>1</v>
      </c>
      <c r="J7" s="86">
        <f>'D. SENDI RSAL'!D9</f>
        <v>4551200</v>
      </c>
      <c r="K7" s="87"/>
      <c r="L7" s="86">
        <f t="shared" ref="L7:L32" si="0">SUM(M7:P7)</f>
        <v>0</v>
      </c>
      <c r="M7" s="86"/>
      <c r="N7" s="86"/>
      <c r="O7" s="86"/>
      <c r="P7" s="86"/>
      <c r="Q7" s="86">
        <f t="shared" ref="Q7:Q12" si="1">J7-L7</f>
        <v>4551200</v>
      </c>
    </row>
    <row r="8" spans="1:17" ht="18" x14ac:dyDescent="0.35">
      <c r="A8" s="88">
        <f>A7+1</f>
        <v>3</v>
      </c>
      <c r="B8" s="85" t="s">
        <v>42</v>
      </c>
      <c r="C8" s="86">
        <f>'GUDANG JENNY'!D25</f>
        <v>53477875</v>
      </c>
      <c r="D8" s="86">
        <f>'GUDANG JENNY'!F25</f>
        <v>66465000</v>
      </c>
      <c r="E8" s="86">
        <f>C8-D8</f>
        <v>-12987125</v>
      </c>
      <c r="F8" s="86">
        <f>'GUDANG JENNY'!D25</f>
        <v>53477875</v>
      </c>
      <c r="G8" s="86">
        <f>J8-F8</f>
        <v>53477875</v>
      </c>
      <c r="H8" s="87"/>
      <c r="I8" s="100">
        <v>1</v>
      </c>
      <c r="J8" s="86">
        <f>'GUDANG JENNY'!D9</f>
        <v>106955750</v>
      </c>
      <c r="K8" s="87"/>
      <c r="L8" s="86">
        <f t="shared" si="0"/>
        <v>66465000</v>
      </c>
      <c r="M8" s="86">
        <f>'GUDANG JENNY'!E9</f>
        <v>66265000</v>
      </c>
      <c r="N8" s="86"/>
      <c r="O8" s="86"/>
      <c r="P8" s="86">
        <f>'GUDANG JENNY'!F23</f>
        <v>200000</v>
      </c>
      <c r="Q8" s="86">
        <f t="shared" si="1"/>
        <v>40490750</v>
      </c>
    </row>
    <row r="9" spans="1:17" ht="18" x14ac:dyDescent="0.35">
      <c r="A9" s="88">
        <f>A8+1</f>
        <v>4</v>
      </c>
      <c r="B9" s="85" t="s">
        <v>43</v>
      </c>
      <c r="C9" s="86">
        <f>'CANOPY DEWI'!D22</f>
        <v>9000000</v>
      </c>
      <c r="D9" s="86">
        <f>'CANOPY DEWI'!F22</f>
        <v>7500000</v>
      </c>
      <c r="E9" s="86">
        <f>C9-D9</f>
        <v>1500000</v>
      </c>
      <c r="F9" s="86">
        <f>'CANOPY DEWI'!D22</f>
        <v>9000000</v>
      </c>
      <c r="G9" s="86">
        <f>J9-F9</f>
        <v>0</v>
      </c>
      <c r="H9" s="87"/>
      <c r="I9" s="100">
        <v>1</v>
      </c>
      <c r="J9" s="86">
        <f>'CANOPY DEWI'!D9</f>
        <v>9000000</v>
      </c>
      <c r="K9" s="87"/>
      <c r="L9" s="86">
        <f t="shared" si="0"/>
        <v>7500000</v>
      </c>
      <c r="M9" s="86">
        <f>'CANOPY DEWI'!E9</f>
        <v>7500000</v>
      </c>
      <c r="N9" s="86"/>
      <c r="O9" s="86"/>
      <c r="P9" s="86"/>
      <c r="Q9" s="86">
        <f t="shared" si="1"/>
        <v>1500000</v>
      </c>
    </row>
    <row r="10" spans="1:17" ht="18" x14ac:dyDescent="0.35">
      <c r="A10" s="88">
        <f>A9+1</f>
        <v>5</v>
      </c>
      <c r="B10" s="85" t="s">
        <v>49</v>
      </c>
      <c r="C10" s="86">
        <f>'JENDELA KORIDOR DEWI'!D22</f>
        <v>8000000</v>
      </c>
      <c r="D10" s="86">
        <f>'JENDELA KORIDOR DEWI'!F22</f>
        <v>5330000</v>
      </c>
      <c r="E10" s="86">
        <f>C10-D10</f>
        <v>2670000</v>
      </c>
      <c r="F10" s="86">
        <f>'JENDELA KORIDOR DEWI'!D22</f>
        <v>8000000</v>
      </c>
      <c r="G10" s="86">
        <f>J10-F10</f>
        <v>0</v>
      </c>
      <c r="H10" s="87"/>
      <c r="I10" s="100">
        <v>1</v>
      </c>
      <c r="J10" s="86">
        <f>'JENDELA KORIDOR DEWI'!D9</f>
        <v>8000000</v>
      </c>
      <c r="K10" s="87"/>
      <c r="L10" s="86">
        <f t="shared" si="0"/>
        <v>5330000</v>
      </c>
      <c r="M10" s="86">
        <f>'JENDELA KORIDOR DEWI'!E9</f>
        <v>5330000</v>
      </c>
      <c r="N10" s="86"/>
      <c r="O10" s="86"/>
      <c r="P10" s="86"/>
      <c r="Q10" s="86">
        <f t="shared" si="1"/>
        <v>2670000</v>
      </c>
    </row>
    <row r="11" spans="1:17" ht="18" x14ac:dyDescent="0.35">
      <c r="A11" s="88">
        <v>6</v>
      </c>
      <c r="B11" s="85" t="s">
        <v>108</v>
      </c>
      <c r="C11" s="86">
        <f>'NUR EFENDI'!D23</f>
        <v>73287000</v>
      </c>
      <c r="D11" s="86">
        <f>'NUR EFENDI'!F23</f>
        <v>58218000</v>
      </c>
      <c r="E11" s="86">
        <f>C11-D11</f>
        <v>15069000</v>
      </c>
      <c r="F11" s="86">
        <f>'NUR EFENDI'!D23</f>
        <v>73287000</v>
      </c>
      <c r="G11" s="86">
        <f>J11-F11</f>
        <v>0</v>
      </c>
      <c r="H11" s="87"/>
      <c r="I11" s="100">
        <v>1</v>
      </c>
      <c r="J11" s="86">
        <f>'NUR EFENDI'!D9</f>
        <v>73287000</v>
      </c>
      <c r="K11" s="87"/>
      <c r="L11" s="86">
        <f t="shared" si="0"/>
        <v>58218000</v>
      </c>
      <c r="M11" s="86">
        <f>'NUR EFENDI'!E9</f>
        <v>58000000</v>
      </c>
      <c r="N11" s="86"/>
      <c r="O11" s="86"/>
      <c r="P11" s="86">
        <f>'NUR EFENDI'!F21</f>
        <v>218000</v>
      </c>
      <c r="Q11" s="86">
        <f t="shared" si="1"/>
        <v>15069000</v>
      </c>
    </row>
    <row r="12" spans="1:17" ht="18" x14ac:dyDescent="0.35">
      <c r="A12" s="88">
        <v>7</v>
      </c>
      <c r="B12" s="85" t="s">
        <v>260</v>
      </c>
      <c r="C12" s="86">
        <f>'D. DEWI K24'!D22</f>
        <v>6407500</v>
      </c>
      <c r="D12" s="86">
        <f>'D. DEWI K24'!F22</f>
        <v>9500</v>
      </c>
      <c r="E12" s="86">
        <f>C12-D12</f>
        <v>6398000</v>
      </c>
      <c r="F12" s="86">
        <f>'D. DEWI K24'!D22</f>
        <v>6407500</v>
      </c>
      <c r="G12" s="86">
        <f>J12-F12</f>
        <v>0</v>
      </c>
      <c r="H12" s="87"/>
      <c r="I12" s="100">
        <v>1</v>
      </c>
      <c r="J12" s="86">
        <f>'D. DEWI K24'!D9</f>
        <v>6407500</v>
      </c>
      <c r="K12" s="87"/>
      <c r="L12" s="86">
        <f t="shared" si="0"/>
        <v>9500</v>
      </c>
      <c r="M12" s="86">
        <f>'D. DEWI K24'!E9</f>
        <v>0</v>
      </c>
      <c r="N12" s="86"/>
      <c r="O12" s="86"/>
      <c r="P12" s="86">
        <f>'D. DEWI K24'!F20</f>
        <v>9500</v>
      </c>
      <c r="Q12" s="86">
        <f t="shared" si="1"/>
        <v>6398000</v>
      </c>
    </row>
    <row r="13" spans="1:17" ht="18" x14ac:dyDescent="0.35">
      <c r="A13" s="84">
        <v>8</v>
      </c>
      <c r="B13" s="89" t="s">
        <v>84</v>
      </c>
      <c r="C13" s="90">
        <f>'D. TENNY BEKASI'!D22</f>
        <v>600000</v>
      </c>
      <c r="D13" s="90">
        <f>'D. TENNY BEKASI'!F22</f>
        <v>0</v>
      </c>
      <c r="E13" s="87">
        <f>C13-D13</f>
        <v>600000</v>
      </c>
      <c r="F13" s="90">
        <f>'D. TENNY BEKASI'!D22</f>
        <v>600000</v>
      </c>
      <c r="G13" s="90">
        <f>J13-F13</f>
        <v>600000</v>
      </c>
      <c r="H13" s="87"/>
      <c r="I13" s="101">
        <v>0.9</v>
      </c>
      <c r="J13" s="90">
        <f>'D. TENNY BEKASI'!D9</f>
        <v>1200000</v>
      </c>
      <c r="K13" s="90"/>
      <c r="L13" s="87">
        <f t="shared" si="0"/>
        <v>0</v>
      </c>
      <c r="M13" s="90">
        <f>'D. TENNY BEKASI'!E9</f>
        <v>0</v>
      </c>
      <c r="N13" s="90"/>
      <c r="O13" s="90"/>
      <c r="P13" s="90">
        <f>'D. TENNY BEKASI'!F20</f>
        <v>0</v>
      </c>
      <c r="Q13" s="90">
        <f>J13-L13</f>
        <v>1200000</v>
      </c>
    </row>
    <row r="14" spans="1:17" ht="18" x14ac:dyDescent="0.35">
      <c r="A14" s="84">
        <v>9</v>
      </c>
      <c r="B14" s="89" t="s">
        <v>302</v>
      </c>
      <c r="C14" s="90">
        <f>'D. DESY'!D22</f>
        <v>920000</v>
      </c>
      <c r="D14" s="90">
        <f>'D. DESY'!F22</f>
        <v>0</v>
      </c>
      <c r="E14" s="87">
        <f>C14-D14</f>
        <v>920000</v>
      </c>
      <c r="F14" s="90">
        <f>'D. DESY'!D22</f>
        <v>920000</v>
      </c>
      <c r="G14" s="90">
        <f>J14-F14</f>
        <v>920000</v>
      </c>
      <c r="H14" s="87"/>
      <c r="I14" s="101">
        <v>0.9</v>
      </c>
      <c r="J14" s="90">
        <f>'D. DESY'!D9</f>
        <v>1840000</v>
      </c>
      <c r="K14" s="90"/>
      <c r="L14" s="87">
        <f t="shared" si="0"/>
        <v>0</v>
      </c>
      <c r="M14" s="90">
        <f>'D. DESY'!E9</f>
        <v>0</v>
      </c>
      <c r="N14" s="90"/>
      <c r="O14" s="90"/>
      <c r="P14" s="90">
        <f>'D. DESY'!F20</f>
        <v>0</v>
      </c>
      <c r="Q14" s="90">
        <f t="shared" ref="Q14:Q32" si="2">J14-L14</f>
        <v>1840000</v>
      </c>
    </row>
    <row r="15" spans="1:17" ht="18" x14ac:dyDescent="0.35">
      <c r="A15" s="84">
        <v>10</v>
      </c>
      <c r="B15" s="89" t="s">
        <v>307</v>
      </c>
      <c r="C15" s="90">
        <f>'D. ERLIS'!D22</f>
        <v>3570000</v>
      </c>
      <c r="D15" s="90">
        <f>'D. ERLIS'!F22</f>
        <v>50000</v>
      </c>
      <c r="E15" s="87">
        <f>C15-D15</f>
        <v>3520000</v>
      </c>
      <c r="F15" s="90">
        <f>'D. ERLIS'!D22</f>
        <v>3570000</v>
      </c>
      <c r="G15" s="90">
        <f>J15-F15</f>
        <v>3570000</v>
      </c>
      <c r="H15" s="87"/>
      <c r="I15" s="101">
        <v>0.9</v>
      </c>
      <c r="J15" s="90">
        <f>'D. ERLIS'!D9</f>
        <v>7140000</v>
      </c>
      <c r="K15" s="90"/>
      <c r="L15" s="87">
        <f t="shared" si="0"/>
        <v>4145000</v>
      </c>
      <c r="M15" s="90">
        <f>'D. ERLIS'!E9</f>
        <v>4095000</v>
      </c>
      <c r="N15" s="90"/>
      <c r="O15" s="90"/>
      <c r="P15" s="90">
        <f>'D. ERLIS'!F20</f>
        <v>50000</v>
      </c>
      <c r="Q15" s="90">
        <f t="shared" si="2"/>
        <v>2995000</v>
      </c>
    </row>
    <row r="16" spans="1:17" ht="18" x14ac:dyDescent="0.35">
      <c r="A16" s="84">
        <v>11</v>
      </c>
      <c r="B16" s="89" t="s">
        <v>37</v>
      </c>
      <c r="C16" s="87">
        <f>'balai PU'!D76</f>
        <v>1098171914</v>
      </c>
      <c r="D16" s="87">
        <f>'balai PU'!F76</f>
        <v>1018147288</v>
      </c>
      <c r="E16" s="87">
        <f>C16-D16</f>
        <v>80024626</v>
      </c>
      <c r="F16" s="90">
        <f>'balai PU'!D76</f>
        <v>1098171914</v>
      </c>
      <c r="G16" s="90">
        <f>J16-F16</f>
        <v>695000430.02589011</v>
      </c>
      <c r="H16" s="87"/>
      <c r="I16" s="101">
        <v>0.75</v>
      </c>
      <c r="J16" s="90">
        <f>'balai PU'!D13-'balai PU'!E13-'balai PU'!F13</f>
        <v>1793172344.0258901</v>
      </c>
      <c r="K16" s="90"/>
      <c r="L16" s="87">
        <f t="shared" si="0"/>
        <v>1440363023.0689189</v>
      </c>
      <c r="M16" s="90">
        <f>'balai PU'!G13</f>
        <v>1141486268</v>
      </c>
      <c r="N16" s="90">
        <f>'balai PU'!H13</f>
        <v>58237000</v>
      </c>
      <c r="O16" s="90">
        <f>'balai PU'!I13+'balai PU'!J13</f>
        <v>223314155.06891891</v>
      </c>
      <c r="P16" s="90">
        <f>'balai PU'!F74+'balai PU'!F23+'balai PU'!F27+'balai PU'!F36+'balai PU'!F49</f>
        <v>17325600</v>
      </c>
      <c r="Q16" s="90">
        <f t="shared" si="2"/>
        <v>352809320.95697117</v>
      </c>
    </row>
    <row r="17" spans="1:17" ht="18" x14ac:dyDescent="0.35">
      <c r="A17" s="84">
        <v>12</v>
      </c>
      <c r="B17" s="89" t="s">
        <v>160</v>
      </c>
      <c r="C17" s="90">
        <f>'D. HAMSJAH'!D22</f>
        <v>4200000</v>
      </c>
      <c r="D17" s="90">
        <f>'D. HAMSJAH'!F22</f>
        <v>0</v>
      </c>
      <c r="E17" s="87">
        <f>C17-D17</f>
        <v>4200000</v>
      </c>
      <c r="F17" s="90">
        <f>'D. HAMSJAH'!D22</f>
        <v>4200000</v>
      </c>
      <c r="G17" s="90">
        <f>J17-F17</f>
        <v>4200000</v>
      </c>
      <c r="H17" s="87"/>
      <c r="I17" s="101">
        <v>0.75</v>
      </c>
      <c r="J17" s="90">
        <f>'D. HAMSJAH'!D9</f>
        <v>8400000</v>
      </c>
      <c r="K17" s="90"/>
      <c r="L17" s="87">
        <f t="shared" si="0"/>
        <v>5325000</v>
      </c>
      <c r="M17" s="90">
        <f>'D. HAMSJAH'!E5</f>
        <v>5325000</v>
      </c>
      <c r="N17" s="90"/>
      <c r="O17" s="90"/>
      <c r="P17" s="90">
        <f>'D. HAMSJAH'!F20</f>
        <v>0</v>
      </c>
      <c r="Q17" s="90">
        <f t="shared" si="2"/>
        <v>3075000</v>
      </c>
    </row>
    <row r="18" spans="1:17" ht="18" x14ac:dyDescent="0.35">
      <c r="A18" s="84">
        <v>13</v>
      </c>
      <c r="B18" s="89" t="s">
        <v>40</v>
      </c>
      <c r="C18" s="90">
        <f>'D. NANANG'!D22</f>
        <v>4750000</v>
      </c>
      <c r="D18" s="90">
        <f>'D. NANANG'!F22</f>
        <v>4900000</v>
      </c>
      <c r="E18" s="87">
        <f>C18-D18</f>
        <v>-150000</v>
      </c>
      <c r="F18" s="90">
        <f>'D. NANANG'!D22</f>
        <v>4750000</v>
      </c>
      <c r="G18" s="90">
        <f>J18-F18</f>
        <v>4750000</v>
      </c>
      <c r="H18" s="87"/>
      <c r="I18" s="101">
        <v>0.5</v>
      </c>
      <c r="J18" s="90">
        <f>'D. NANANG'!D9</f>
        <v>9500000</v>
      </c>
      <c r="K18" s="90"/>
      <c r="L18" s="87">
        <f t="shared" si="0"/>
        <v>4900000</v>
      </c>
      <c r="M18" s="90">
        <f>'D. NANANG'!E9</f>
        <v>4900000</v>
      </c>
      <c r="N18" s="90"/>
      <c r="O18" s="90"/>
      <c r="P18" s="90"/>
      <c r="Q18" s="90">
        <f t="shared" si="2"/>
        <v>4600000</v>
      </c>
    </row>
    <row r="19" spans="1:17" ht="18" x14ac:dyDescent="0.35">
      <c r="A19" s="84">
        <v>14</v>
      </c>
      <c r="B19" s="89" t="s">
        <v>44</v>
      </c>
      <c r="C19" s="90">
        <f>'D. ARIEF JOMBANG'!D24</f>
        <v>8271000</v>
      </c>
      <c r="D19" s="90">
        <f>'D. ARIEF JOMBANG'!F24</f>
        <v>700000</v>
      </c>
      <c r="E19" s="87">
        <f>C19-D19</f>
        <v>7571000</v>
      </c>
      <c r="F19" s="90">
        <f>'D. ARIEF JOMBANG'!D24</f>
        <v>8271000</v>
      </c>
      <c r="G19" s="90">
        <f>J19-F19</f>
        <v>2430000</v>
      </c>
      <c r="H19" s="87"/>
      <c r="I19" s="101">
        <v>0.5</v>
      </c>
      <c r="J19" s="90">
        <f>'D. ARIEF JOMBANG'!D10</f>
        <v>10701000</v>
      </c>
      <c r="K19" s="90"/>
      <c r="L19" s="87">
        <f t="shared" si="0"/>
        <v>700000</v>
      </c>
      <c r="M19" s="90">
        <f>'D. ARIEF JOMBANG'!E10</f>
        <v>0</v>
      </c>
      <c r="N19" s="90"/>
      <c r="O19" s="90"/>
      <c r="P19" s="90">
        <f>'D. ARIEF JOMBANG'!F22</f>
        <v>700000</v>
      </c>
      <c r="Q19" s="90">
        <f t="shared" si="2"/>
        <v>10001000</v>
      </c>
    </row>
    <row r="20" spans="1:17" ht="18" x14ac:dyDescent="0.35">
      <c r="A20" s="84">
        <v>15</v>
      </c>
      <c r="B20" s="89" t="s">
        <v>300</v>
      </c>
      <c r="C20" s="90">
        <f>'D. LINDA'!D22</f>
        <v>12000000</v>
      </c>
      <c r="D20" s="90">
        <f>'D. LINDA'!F22</f>
        <v>46000</v>
      </c>
      <c r="E20" s="87">
        <f>C20-D20</f>
        <v>11954000</v>
      </c>
      <c r="F20" s="90">
        <f>'D. LINDA'!D22</f>
        <v>12000000</v>
      </c>
      <c r="G20" s="90">
        <f>J20-F20</f>
        <v>12000000</v>
      </c>
      <c r="H20" s="87"/>
      <c r="I20" s="101">
        <v>0.5</v>
      </c>
      <c r="J20" s="90">
        <f>'D. LINDA'!D9</f>
        <v>24000000</v>
      </c>
      <c r="K20" s="90"/>
      <c r="L20" s="87">
        <f t="shared" si="0"/>
        <v>46000</v>
      </c>
      <c r="M20" s="90">
        <f>'D. LINDA'!E9</f>
        <v>0</v>
      </c>
      <c r="N20" s="90"/>
      <c r="O20" s="90"/>
      <c r="P20" s="90">
        <f>'D. LINDA'!F20</f>
        <v>46000</v>
      </c>
      <c r="Q20" s="90">
        <f t="shared" si="2"/>
        <v>23954000</v>
      </c>
    </row>
    <row r="21" spans="1:17" ht="18" x14ac:dyDescent="0.35">
      <c r="A21" s="84">
        <v>16</v>
      </c>
      <c r="B21" s="89" t="s">
        <v>301</v>
      </c>
      <c r="C21" s="90">
        <f>'D. SIGIT GEDANGAN'!D22</f>
        <v>6500000</v>
      </c>
      <c r="D21" s="90">
        <f>'D. SIGIT GEDANGAN'!F22</f>
        <v>119000</v>
      </c>
      <c r="E21" s="87">
        <f>C21-D21</f>
        <v>6381000</v>
      </c>
      <c r="F21" s="90">
        <f>'D. SIGIT GEDANGAN'!D22</f>
        <v>6500000</v>
      </c>
      <c r="G21" s="90">
        <f>J21-F21</f>
        <v>6500000</v>
      </c>
      <c r="H21" s="87"/>
      <c r="I21" s="101">
        <v>0.5</v>
      </c>
      <c r="J21" s="90">
        <f>'D. SIGIT GEDANGAN'!D9</f>
        <v>13000000</v>
      </c>
      <c r="K21" s="90"/>
      <c r="L21" s="87">
        <f t="shared" si="0"/>
        <v>119000</v>
      </c>
      <c r="M21" s="90">
        <f>'D. SIGIT GEDANGAN'!E9</f>
        <v>0</v>
      </c>
      <c r="N21" s="90"/>
      <c r="O21" s="90"/>
      <c r="P21" s="90">
        <f>'D. SIGIT GEDANGAN'!F20</f>
        <v>119000</v>
      </c>
      <c r="Q21" s="90">
        <f t="shared" si="2"/>
        <v>12881000</v>
      </c>
    </row>
    <row r="22" spans="1:17" ht="18" x14ac:dyDescent="0.35">
      <c r="A22" s="84">
        <v>17</v>
      </c>
      <c r="B22" s="89" t="s">
        <v>361</v>
      </c>
      <c r="C22" s="90">
        <f>'INTERIOR FRIZQI'!D26</f>
        <v>50000000</v>
      </c>
      <c r="D22" s="90">
        <f>'INTERIOR FRIZQI'!F26</f>
        <v>10208000</v>
      </c>
      <c r="E22" s="87">
        <f>C22-D22</f>
        <v>39792000</v>
      </c>
      <c r="F22" s="90">
        <f>'INTERIOR FRIZQI'!D26</f>
        <v>50000000</v>
      </c>
      <c r="G22" s="90">
        <f>J22-F22</f>
        <v>8417180</v>
      </c>
      <c r="H22" s="87"/>
      <c r="I22" s="101">
        <v>0.5</v>
      </c>
      <c r="J22" s="90">
        <f>'INTERIOR FRIZQI'!D9</f>
        <v>58417180</v>
      </c>
      <c r="K22" s="90"/>
      <c r="L22" s="87">
        <f t="shared" si="0"/>
        <v>41109000</v>
      </c>
      <c r="M22" s="90">
        <f>'INTERIOR FRIZQI'!E9</f>
        <v>40901000</v>
      </c>
      <c r="N22" s="90"/>
      <c r="O22" s="90"/>
      <c r="P22" s="90">
        <f>'INTERIOR FRIZQI'!F24</f>
        <v>208000</v>
      </c>
      <c r="Q22" s="90">
        <f t="shared" si="2"/>
        <v>17308180</v>
      </c>
    </row>
    <row r="23" spans="1:17" ht="18" x14ac:dyDescent="0.35">
      <c r="A23" s="84">
        <v>18</v>
      </c>
      <c r="B23" s="89" t="s">
        <v>39</v>
      </c>
      <c r="C23" s="90">
        <f>RICKY!D31</f>
        <v>371250000</v>
      </c>
      <c r="D23" s="90">
        <f>RICKY!F31</f>
        <v>91612000</v>
      </c>
      <c r="E23" s="87">
        <f>C23-D23</f>
        <v>279638000</v>
      </c>
      <c r="F23" s="90">
        <f>RICKY!D31</f>
        <v>371250000</v>
      </c>
      <c r="G23" s="90">
        <f>J23-F23</f>
        <v>405750000</v>
      </c>
      <c r="H23" s="87"/>
      <c r="I23" s="101">
        <v>0.3</v>
      </c>
      <c r="J23" s="90">
        <f>RICKY!D9</f>
        <v>777000000</v>
      </c>
      <c r="K23" s="90"/>
      <c r="L23" s="87">
        <f t="shared" si="0"/>
        <v>650500000</v>
      </c>
      <c r="M23" s="90">
        <f>RICKY!E9</f>
        <v>630000000</v>
      </c>
      <c r="N23" s="90"/>
      <c r="O23" s="90"/>
      <c r="P23" s="90">
        <f>RICKY!F29+(4000000*5)</f>
        <v>20500000</v>
      </c>
      <c r="Q23" s="90">
        <f t="shared" si="2"/>
        <v>126500000</v>
      </c>
    </row>
    <row r="24" spans="1:17" ht="18" x14ac:dyDescent="0.35">
      <c r="A24" s="84">
        <v>19</v>
      </c>
      <c r="B24" s="89" t="s">
        <v>163</v>
      </c>
      <c r="C24" s="90">
        <f>IPUT!D26</f>
        <v>267618050</v>
      </c>
      <c r="D24" s="90">
        <f>IPUT!F26</f>
        <v>144415100</v>
      </c>
      <c r="E24" s="87">
        <f>C24-D24</f>
        <v>123202950</v>
      </c>
      <c r="F24" s="90">
        <f>IPUT!D26</f>
        <v>267618050</v>
      </c>
      <c r="G24" s="90">
        <f>J24-F24</f>
        <v>497004950</v>
      </c>
      <c r="H24" s="87"/>
      <c r="I24" s="101">
        <v>0.25</v>
      </c>
      <c r="J24" s="90">
        <f>IPUT!D9</f>
        <v>764623000</v>
      </c>
      <c r="K24" s="90"/>
      <c r="L24" s="87">
        <f t="shared" si="0"/>
        <v>480415100</v>
      </c>
      <c r="M24" s="90">
        <f>IPUT!E9</f>
        <v>460000000</v>
      </c>
      <c r="N24" s="90"/>
      <c r="O24" s="90"/>
      <c r="P24" s="90">
        <f>IPUT!F24+(4000000*5)</f>
        <v>20415100</v>
      </c>
      <c r="Q24" s="90">
        <f t="shared" si="2"/>
        <v>284207900</v>
      </c>
    </row>
    <row r="25" spans="1:17" ht="18" x14ac:dyDescent="0.35">
      <c r="A25" s="84">
        <v>20</v>
      </c>
      <c r="B25" s="89" t="s">
        <v>303</v>
      </c>
      <c r="C25" s="90">
        <f>'D. DR MOLIS'!D22</f>
        <v>9000000</v>
      </c>
      <c r="D25" s="90">
        <f>'D. DR MOLIS'!F22</f>
        <v>279000</v>
      </c>
      <c r="E25" s="87">
        <f>C25-D25</f>
        <v>8721000</v>
      </c>
      <c r="F25" s="90">
        <f>'D. DR MOLIS'!D22</f>
        <v>9000000</v>
      </c>
      <c r="G25" s="90">
        <f>J25-F25</f>
        <v>9000000</v>
      </c>
      <c r="H25" s="87"/>
      <c r="I25" s="101">
        <v>0.25</v>
      </c>
      <c r="J25" s="90">
        <f>'D. DR MOLIS'!D9</f>
        <v>18000000</v>
      </c>
      <c r="K25" s="90"/>
      <c r="L25" s="87">
        <f t="shared" si="0"/>
        <v>279000</v>
      </c>
      <c r="M25" s="90">
        <f>'D. DR MOLIS'!E9</f>
        <v>0</v>
      </c>
      <c r="N25" s="90"/>
      <c r="O25" s="90"/>
      <c r="P25" s="90">
        <f>'D. DR MOLIS'!F20</f>
        <v>279000</v>
      </c>
      <c r="Q25" s="90">
        <f t="shared" si="2"/>
        <v>17721000</v>
      </c>
    </row>
    <row r="26" spans="1:17" ht="18" x14ac:dyDescent="0.35">
      <c r="A26" s="84">
        <v>21</v>
      </c>
      <c r="B26" s="89" t="s">
        <v>366</v>
      </c>
      <c r="C26" s="90">
        <f>'D. JONI'!D22</f>
        <v>6000000</v>
      </c>
      <c r="D26" s="90">
        <f>'D. JONI'!F22</f>
        <v>0</v>
      </c>
      <c r="E26" s="87">
        <f>C26-D26</f>
        <v>6000000</v>
      </c>
      <c r="F26" s="90">
        <f>'D. JONI'!D22</f>
        <v>6000000</v>
      </c>
      <c r="G26" s="90">
        <f>J26-F26</f>
        <v>5520000</v>
      </c>
      <c r="H26" s="87"/>
      <c r="I26" s="101">
        <v>0.25</v>
      </c>
      <c r="J26" s="90">
        <f>'D. JONI'!D9</f>
        <v>11520000</v>
      </c>
      <c r="K26" s="90"/>
      <c r="L26" s="87">
        <f t="shared" si="0"/>
        <v>0</v>
      </c>
      <c r="M26" s="90"/>
      <c r="N26" s="90"/>
      <c r="O26" s="90"/>
      <c r="P26" s="90">
        <f>'D. JONI'!F20</f>
        <v>0</v>
      </c>
      <c r="Q26" s="90">
        <f t="shared" si="2"/>
        <v>11520000</v>
      </c>
    </row>
    <row r="27" spans="1:17" ht="18" x14ac:dyDescent="0.35">
      <c r="A27" s="84">
        <v>22</v>
      </c>
      <c r="B27" s="89" t="s">
        <v>365</v>
      </c>
      <c r="C27" s="90">
        <f>'D. NIKE'!D22</f>
        <v>13500000</v>
      </c>
      <c r="D27" s="90">
        <f>'D. NIKE'!F22</f>
        <v>333000</v>
      </c>
      <c r="E27" s="87">
        <f>C27-D27</f>
        <v>13167000</v>
      </c>
      <c r="F27" s="90">
        <f>'D. NIKE'!D22</f>
        <v>13500000</v>
      </c>
      <c r="G27" s="90">
        <f>J27-F27</f>
        <v>9000000</v>
      </c>
      <c r="H27" s="87"/>
      <c r="I27" s="101">
        <v>0.25</v>
      </c>
      <c r="J27" s="90">
        <f>'D. NIKE'!D9</f>
        <v>22500000</v>
      </c>
      <c r="K27" s="90"/>
      <c r="L27" s="87">
        <f t="shared" si="0"/>
        <v>333000</v>
      </c>
      <c r="M27" s="90"/>
      <c r="N27" s="90"/>
      <c r="O27" s="90"/>
      <c r="P27" s="90">
        <f>'D. NIKE'!F20</f>
        <v>333000</v>
      </c>
      <c r="Q27" s="90">
        <f t="shared" si="2"/>
        <v>22167000</v>
      </c>
    </row>
    <row r="28" spans="1:17" ht="18" x14ac:dyDescent="0.35">
      <c r="A28" s="84">
        <v>23</v>
      </c>
      <c r="B28" s="89" t="s">
        <v>377</v>
      </c>
      <c r="C28" s="90">
        <f>'D. ANGGA'!D22</f>
        <v>2172500</v>
      </c>
      <c r="D28" s="90">
        <f>'D. ANGGA'!F22</f>
        <v>0</v>
      </c>
      <c r="E28" s="87">
        <f>C28-D28</f>
        <v>2172500</v>
      </c>
      <c r="F28" s="90">
        <f>'D. ANGGA'!D22</f>
        <v>2172500</v>
      </c>
      <c r="G28" s="90">
        <f>J28-F28</f>
        <v>2172500</v>
      </c>
      <c r="H28" s="87"/>
      <c r="I28" s="101">
        <v>0.25</v>
      </c>
      <c r="J28" s="90">
        <f>'D. ANGGA'!D9</f>
        <v>4345000</v>
      </c>
      <c r="K28" s="90"/>
      <c r="L28" s="87">
        <f t="shared" si="0"/>
        <v>0</v>
      </c>
      <c r="M28" s="90">
        <f>'D. ANGGA'!E9</f>
        <v>0</v>
      </c>
      <c r="N28" s="90"/>
      <c r="O28" s="90"/>
      <c r="P28" s="90">
        <f>'D. ANGGA'!F20</f>
        <v>0</v>
      </c>
      <c r="Q28" s="90">
        <f t="shared" si="2"/>
        <v>4345000</v>
      </c>
    </row>
    <row r="29" spans="1:17" ht="18" x14ac:dyDescent="0.35">
      <c r="A29" s="84">
        <v>24</v>
      </c>
      <c r="B29" s="89" t="s">
        <v>401</v>
      </c>
      <c r="C29" s="90">
        <f>'D. SAZA'!D22</f>
        <v>1680000</v>
      </c>
      <c r="D29" s="90">
        <f>'D. SAZA'!F22</f>
        <v>252300</v>
      </c>
      <c r="E29" s="87">
        <f>C29-D29</f>
        <v>1427700</v>
      </c>
      <c r="F29" s="90">
        <f>'D. SAZA'!D22</f>
        <v>1680000</v>
      </c>
      <c r="G29" s="90">
        <f>J29-F29</f>
        <v>1680000</v>
      </c>
      <c r="H29" s="87"/>
      <c r="I29" s="101">
        <v>0.25</v>
      </c>
      <c r="J29" s="90">
        <f>'D. SAZA'!D9</f>
        <v>3360000</v>
      </c>
      <c r="K29" s="90"/>
      <c r="L29" s="87">
        <f t="shared" si="0"/>
        <v>252300</v>
      </c>
      <c r="M29" s="90">
        <f>'D. SAZA'!E9</f>
        <v>0</v>
      </c>
      <c r="N29" s="90"/>
      <c r="O29" s="90"/>
      <c r="P29" s="90">
        <f>'D. SAZA'!F20</f>
        <v>252300</v>
      </c>
      <c r="Q29" s="90">
        <f t="shared" si="2"/>
        <v>3107700</v>
      </c>
    </row>
    <row r="30" spans="1:17" ht="18" x14ac:dyDescent="0.35">
      <c r="A30" s="84">
        <v>25</v>
      </c>
      <c r="B30" s="89" t="s">
        <v>332</v>
      </c>
      <c r="C30" s="90">
        <f>IRSANDI!D26</f>
        <v>138908700</v>
      </c>
      <c r="D30" s="90">
        <f>IRSANDI!F26</f>
        <v>37743900</v>
      </c>
      <c r="E30" s="87">
        <f>C30-D30</f>
        <v>101164800</v>
      </c>
      <c r="F30" s="90">
        <f>IRSANDI!D26</f>
        <v>138908700</v>
      </c>
      <c r="G30" s="90">
        <f>J30-F30</f>
        <v>257973300</v>
      </c>
      <c r="H30" s="87"/>
      <c r="I30" s="101">
        <v>0.18</v>
      </c>
      <c r="J30" s="90">
        <f>IRSANDI!D9</f>
        <v>396882000</v>
      </c>
      <c r="K30" s="90"/>
      <c r="L30" s="87">
        <f t="shared" si="0"/>
        <v>355243900</v>
      </c>
      <c r="M30" s="90">
        <f>IRSANDI!E9</f>
        <v>335000000</v>
      </c>
      <c r="N30" s="90"/>
      <c r="O30" s="90"/>
      <c r="P30" s="90">
        <f>IRSANDI!F24+(4000000*5)</f>
        <v>20243900</v>
      </c>
      <c r="Q30" s="90">
        <f t="shared" si="2"/>
        <v>41638100</v>
      </c>
    </row>
    <row r="31" spans="1:17" ht="18" x14ac:dyDescent="0.35">
      <c r="A31" s="84">
        <v>26</v>
      </c>
      <c r="B31" s="89" t="s">
        <v>403</v>
      </c>
      <c r="C31" s="90">
        <f>'D. INGE'!D22</f>
        <v>1876125</v>
      </c>
      <c r="D31" s="90">
        <f>'D. INGE'!F22</f>
        <v>252300</v>
      </c>
      <c r="E31" s="87">
        <f>C31-D31</f>
        <v>1623825</v>
      </c>
      <c r="F31" s="90">
        <f>'D. INGE'!D22</f>
        <v>1876125</v>
      </c>
      <c r="G31" s="90">
        <f>J31-F31</f>
        <v>4377625</v>
      </c>
      <c r="H31" s="87"/>
      <c r="I31" s="101">
        <v>0</v>
      </c>
      <c r="J31" s="90">
        <f>'D. INGE'!D9</f>
        <v>6253750</v>
      </c>
      <c r="K31" s="90"/>
      <c r="L31" s="87">
        <f t="shared" si="0"/>
        <v>252300</v>
      </c>
      <c r="M31" s="90">
        <f>'D. INGE'!E9</f>
        <v>0</v>
      </c>
      <c r="N31" s="90"/>
      <c r="O31" s="90"/>
      <c r="P31" s="90">
        <f>'D. INGE'!F20</f>
        <v>252300</v>
      </c>
      <c r="Q31" s="90">
        <f t="shared" si="2"/>
        <v>6001450</v>
      </c>
    </row>
    <row r="32" spans="1:17" ht="18" x14ac:dyDescent="0.35">
      <c r="A32" s="84">
        <v>27</v>
      </c>
      <c r="B32" s="89" t="s">
        <v>425</v>
      </c>
      <c r="C32" s="90">
        <f>LINTANG!D26</f>
        <v>0</v>
      </c>
      <c r="D32" s="90">
        <f>LINTANG!F26</f>
        <v>140000</v>
      </c>
      <c r="E32" s="87">
        <f>C32-D32</f>
        <v>-140000</v>
      </c>
      <c r="F32" s="90">
        <f>LINTANG!D26</f>
        <v>0</v>
      </c>
      <c r="G32" s="90">
        <f>J32-F32</f>
        <v>23400000</v>
      </c>
      <c r="H32" s="87"/>
      <c r="I32" s="101">
        <v>0</v>
      </c>
      <c r="J32" s="90">
        <f>LINTANG!D9</f>
        <v>23400000</v>
      </c>
      <c r="K32" s="90"/>
      <c r="L32" s="87">
        <f t="shared" si="0"/>
        <v>20840000</v>
      </c>
      <c r="M32" s="90">
        <f>LINTANG!E9</f>
        <v>20700000</v>
      </c>
      <c r="N32" s="90"/>
      <c r="O32" s="90"/>
      <c r="P32" s="90">
        <f>LINTANG!F24</f>
        <v>140000</v>
      </c>
      <c r="Q32" s="90">
        <f t="shared" si="2"/>
        <v>2560000</v>
      </c>
    </row>
    <row r="33" spans="1:17" ht="18" x14ac:dyDescent="0.35">
      <c r="A33" s="84"/>
      <c r="B33" s="89"/>
      <c r="C33" s="90"/>
      <c r="D33" s="90"/>
      <c r="E33" s="90"/>
      <c r="F33" s="97"/>
      <c r="G33" s="90"/>
      <c r="H33" s="87"/>
      <c r="I33" s="91"/>
      <c r="J33" s="90"/>
      <c r="K33" s="90"/>
      <c r="L33" s="90"/>
      <c r="M33" s="90"/>
      <c r="N33" s="90"/>
      <c r="O33" s="90"/>
      <c r="P33" s="90"/>
      <c r="Q33" s="90"/>
    </row>
    <row r="34" spans="1:17" ht="18" x14ac:dyDescent="0.35">
      <c r="A34" s="120" t="s">
        <v>457</v>
      </c>
      <c r="B34" s="121" t="s">
        <v>90</v>
      </c>
      <c r="C34" s="90"/>
      <c r="D34" s="90"/>
      <c r="E34" s="90"/>
      <c r="F34" s="96"/>
      <c r="G34" s="90"/>
      <c r="H34" s="87"/>
      <c r="I34" s="91"/>
      <c r="J34" s="90"/>
      <c r="K34" s="90"/>
      <c r="L34" s="90"/>
      <c r="M34" s="90"/>
      <c r="N34" s="90"/>
      <c r="O34" s="90"/>
      <c r="P34" s="97"/>
      <c r="Q34" s="90"/>
    </row>
    <row r="35" spans="1:17" ht="18" x14ac:dyDescent="0.35">
      <c r="A35" s="84">
        <v>1</v>
      </c>
      <c r="B35" s="89" t="s">
        <v>174</v>
      </c>
      <c r="C35" s="90"/>
      <c r="D35" s="90">
        <f>32400000*4</f>
        <v>129600000</v>
      </c>
      <c r="E35" s="90"/>
      <c r="F35" s="92"/>
      <c r="G35" s="99"/>
      <c r="H35" s="87"/>
      <c r="I35" s="91"/>
      <c r="J35" s="90"/>
      <c r="K35" s="90"/>
      <c r="L35" s="90"/>
      <c r="M35" s="90"/>
      <c r="N35" s="90"/>
      <c r="O35" s="90"/>
      <c r="P35" s="93" t="s">
        <v>277</v>
      </c>
      <c r="Q35" s="90">
        <f>32400000*7</f>
        <v>226800000</v>
      </c>
    </row>
    <row r="36" spans="1:17" ht="18" x14ac:dyDescent="0.35">
      <c r="A36" s="84">
        <f>A35+1</f>
        <v>2</v>
      </c>
      <c r="B36" s="89" t="s">
        <v>189</v>
      </c>
      <c r="C36" s="90"/>
      <c r="D36" s="90">
        <f>4000000*4</f>
        <v>16000000</v>
      </c>
      <c r="E36" s="90"/>
      <c r="F36" s="92"/>
      <c r="G36" s="99"/>
      <c r="H36" s="87"/>
      <c r="I36" s="91"/>
      <c r="J36" s="90"/>
      <c r="K36" s="90"/>
      <c r="L36" s="90"/>
      <c r="M36" s="90"/>
      <c r="N36" s="90"/>
      <c r="O36" s="90"/>
      <c r="P36" s="93" t="s">
        <v>278</v>
      </c>
      <c r="Q36" s="90">
        <f>4000000*7</f>
        <v>28000000</v>
      </c>
    </row>
    <row r="37" spans="1:17" ht="18" x14ac:dyDescent="0.35">
      <c r="A37" s="84">
        <f t="shared" ref="A37:A39" si="3">A36+1</f>
        <v>3</v>
      </c>
      <c r="B37" s="89" t="s">
        <v>188</v>
      </c>
      <c r="C37" s="90"/>
      <c r="D37" s="90">
        <f>CIH!E220-CIH!N73</f>
        <v>12897100</v>
      </c>
      <c r="E37" s="90"/>
      <c r="F37" s="92"/>
      <c r="G37" s="99"/>
      <c r="H37" s="87"/>
      <c r="I37" s="91"/>
      <c r="J37" s="90"/>
      <c r="K37" s="90"/>
      <c r="L37" s="90"/>
      <c r="M37" s="90"/>
      <c r="N37" s="90"/>
      <c r="O37" s="90"/>
      <c r="P37" s="93" t="s">
        <v>279</v>
      </c>
      <c r="Q37" s="90">
        <f>5000000*3</f>
        <v>15000000</v>
      </c>
    </row>
    <row r="38" spans="1:17" ht="18" x14ac:dyDescent="0.35">
      <c r="A38" s="84">
        <f t="shared" si="3"/>
        <v>4</v>
      </c>
      <c r="B38" s="89" t="s">
        <v>274</v>
      </c>
      <c r="C38" s="90"/>
      <c r="D38" s="90">
        <f>CIH!N75</f>
        <v>21010000</v>
      </c>
      <c r="E38" s="90"/>
      <c r="F38" s="92"/>
      <c r="G38" s="99"/>
      <c r="H38" s="87"/>
      <c r="I38" s="91"/>
      <c r="J38" s="90"/>
      <c r="K38" s="90"/>
      <c r="L38" s="90"/>
      <c r="M38" s="90"/>
      <c r="N38" s="90"/>
      <c r="O38" s="90"/>
      <c r="P38" s="93" t="s">
        <v>274</v>
      </c>
      <c r="Q38" s="90">
        <f>D38</f>
        <v>21010000</v>
      </c>
    </row>
    <row r="39" spans="1:17" ht="18" x14ac:dyDescent="0.35">
      <c r="A39" s="84">
        <f t="shared" si="3"/>
        <v>5</v>
      </c>
      <c r="B39" s="89" t="s">
        <v>98</v>
      </c>
      <c r="C39" s="90"/>
      <c r="D39" s="90">
        <f>CIH!M34</f>
        <v>20000000</v>
      </c>
      <c r="E39" s="90"/>
      <c r="F39" s="92"/>
      <c r="G39" s="99"/>
      <c r="H39" s="87"/>
      <c r="I39" s="91"/>
      <c r="J39" s="90"/>
      <c r="K39" s="90"/>
      <c r="L39" s="90"/>
      <c r="M39" s="90"/>
      <c r="N39" s="90"/>
      <c r="O39" s="90"/>
      <c r="P39" s="93" t="s">
        <v>280</v>
      </c>
      <c r="Q39" s="90">
        <f>10000000*3</f>
        <v>30000000</v>
      </c>
    </row>
    <row r="40" spans="1:17" ht="18" x14ac:dyDescent="0.35">
      <c r="A40" s="81"/>
      <c r="B40" s="82"/>
      <c r="C40" s="50"/>
      <c r="D40" s="81"/>
      <c r="E40" s="81"/>
      <c r="F40" s="98"/>
      <c r="G40" s="50"/>
      <c r="H40" s="76"/>
      <c r="I40" s="83"/>
      <c r="J40" s="50"/>
      <c r="K40" s="79"/>
      <c r="L40" s="79"/>
      <c r="M40" s="50"/>
      <c r="N40" s="50"/>
      <c r="O40" s="50"/>
      <c r="P40" s="50"/>
      <c r="Q40" s="50"/>
    </row>
    <row r="41" spans="1:17" ht="21" x14ac:dyDescent="0.4">
      <c r="A41" s="54" t="s">
        <v>1</v>
      </c>
      <c r="B41" s="54"/>
      <c r="C41" s="15">
        <f>SUM(C6:C40)</f>
        <v>2175711864</v>
      </c>
      <c r="D41" s="15">
        <f>SUM(D6:D40)</f>
        <v>1664977488</v>
      </c>
      <c r="E41" s="15"/>
      <c r="F41" s="74"/>
      <c r="G41" s="75"/>
      <c r="H41" s="77"/>
      <c r="I41" s="51"/>
      <c r="J41" s="15">
        <f>SUM(J6:J40)</f>
        <v>4183455724.0258904</v>
      </c>
      <c r="K41" s="80"/>
      <c r="L41" s="80"/>
      <c r="M41" s="6"/>
      <c r="N41" s="6"/>
      <c r="O41" s="6"/>
      <c r="P41" s="73" t="s">
        <v>284</v>
      </c>
      <c r="Q41" s="46">
        <f>SUM(Q6:Q33)-(SUM(Q35:Q39))</f>
        <v>701550600.95697117</v>
      </c>
    </row>
    <row r="42" spans="1:17" ht="18" x14ac:dyDescent="0.35">
      <c r="A42" s="54"/>
      <c r="B42" s="54"/>
      <c r="C42" s="15"/>
      <c r="D42" s="15"/>
      <c r="E42" s="15"/>
      <c r="F42" s="6"/>
      <c r="G42" s="6"/>
      <c r="H42" s="78"/>
      <c r="I42" s="51"/>
      <c r="J42" s="6"/>
      <c r="K42" s="50"/>
      <c r="L42" s="50"/>
      <c r="M42" s="6"/>
      <c r="N42" s="6"/>
      <c r="O42" s="6"/>
      <c r="P42" s="6"/>
      <c r="Q42" s="41">
        <f>Q41/J41</f>
        <v>0.16769643262337283</v>
      </c>
    </row>
    <row r="43" spans="1:17" ht="21" x14ac:dyDescent="0.4">
      <c r="A43" s="54" t="s">
        <v>130</v>
      </c>
      <c r="B43" s="54"/>
      <c r="C43" s="46">
        <f>C41-D41</f>
        <v>510734376</v>
      </c>
      <c r="D43" s="44"/>
      <c r="E43" s="70"/>
      <c r="H43" s="22"/>
      <c r="I43" s="22"/>
    </row>
    <row r="44" spans="1:17" ht="21" x14ac:dyDescent="0.4">
      <c r="A44" s="54" t="s">
        <v>118</v>
      </c>
      <c r="B44" s="55"/>
      <c r="C44" s="46">
        <f>CIH!E220-CIH!F220</f>
        <v>3119442</v>
      </c>
      <c r="D44" s="45"/>
      <c r="E44" s="71"/>
    </row>
    <row r="46" spans="1:17" ht="18" x14ac:dyDescent="0.35">
      <c r="C46" s="22"/>
    </row>
    <row r="47" spans="1:17" ht="18" x14ac:dyDescent="0.35">
      <c r="A47" s="1"/>
      <c r="B47" s="34"/>
      <c r="C47" s="35"/>
      <c r="D47" s="35"/>
      <c r="E47" s="35"/>
    </row>
    <row r="48" spans="1:17" ht="18" x14ac:dyDescent="0.35">
      <c r="A48" s="1"/>
      <c r="B48" s="34"/>
      <c r="C48" s="35"/>
      <c r="D48" s="35"/>
      <c r="E48" s="35"/>
    </row>
    <row r="49" spans="1:12" ht="18" x14ac:dyDescent="0.35">
      <c r="A49" s="1"/>
      <c r="B49" s="34"/>
      <c r="C49" s="35"/>
      <c r="D49" s="35"/>
      <c r="E49" s="35"/>
      <c r="J49" s="33"/>
      <c r="K49" s="33"/>
      <c r="L49" s="33"/>
    </row>
    <row r="50" spans="1:12" ht="18" x14ac:dyDescent="0.35">
      <c r="A50" s="1"/>
      <c r="B50" s="34"/>
      <c r="C50" s="35"/>
      <c r="D50" s="35"/>
      <c r="E50" s="35"/>
    </row>
  </sheetData>
  <sortState xmlns:xlrd2="http://schemas.microsoft.com/office/spreadsheetml/2017/richdata2" ref="B6:Q32">
    <sortCondition descending="1" ref="I6:I32"/>
  </sortState>
  <mergeCells count="13">
    <mergeCell ref="C3:G3"/>
    <mergeCell ref="L3:P3"/>
    <mergeCell ref="A44:B44"/>
    <mergeCell ref="Q3:Q4"/>
    <mergeCell ref="A1:D1"/>
    <mergeCell ref="A42:B42"/>
    <mergeCell ref="A43:B43"/>
    <mergeCell ref="A3:A4"/>
    <mergeCell ref="B3:B4"/>
    <mergeCell ref="A41:B41"/>
    <mergeCell ref="H3:H4"/>
    <mergeCell ref="J3:J4"/>
    <mergeCell ref="I3:I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CFE2-B349-44BA-A32F-D42350144F47}">
  <dimension ref="A3:H37"/>
  <sheetViews>
    <sheetView topLeftCell="A16" zoomScale="70" zoomScaleNormal="70" workbookViewId="0">
      <selection activeCell="A3" sqref="A3:G37"/>
    </sheetView>
  </sheetViews>
  <sheetFormatPr defaultRowHeight="14.4" x14ac:dyDescent="0.3"/>
  <cols>
    <col min="1" max="1" width="6" customWidth="1"/>
    <col min="2" max="2" width="19.33203125" style="4" customWidth="1"/>
    <col min="3" max="3" width="55.109375" customWidth="1"/>
    <col min="4" max="4" width="26.33203125" style="4" customWidth="1"/>
    <col min="5" max="5" width="24.6640625" customWidth="1"/>
    <col min="6" max="6" width="26.109375" customWidth="1"/>
    <col min="7" max="7" width="41.33203125" customWidth="1"/>
    <col min="8" max="8" width="25.33203125" customWidth="1"/>
  </cols>
  <sheetData>
    <row r="3" spans="1:8" ht="23.4" x14ac:dyDescent="0.45">
      <c r="A3" s="36" t="s">
        <v>427</v>
      </c>
    </row>
    <row r="4" spans="1:8" ht="21" x14ac:dyDescent="0.4">
      <c r="A4" s="2"/>
      <c r="B4" s="2"/>
      <c r="C4" s="2"/>
      <c r="D4" s="2"/>
      <c r="E4" s="2"/>
      <c r="F4" s="2"/>
      <c r="G4" s="2"/>
      <c r="H4" s="2"/>
    </row>
    <row r="5" spans="1:8" ht="21" customHeight="1" x14ac:dyDescent="0.3">
      <c r="A5" s="52" t="s">
        <v>0</v>
      </c>
      <c r="B5" s="52" t="s">
        <v>2</v>
      </c>
      <c r="C5" s="52" t="s">
        <v>53</v>
      </c>
      <c r="D5" s="52" t="s">
        <v>93</v>
      </c>
      <c r="E5" s="29" t="s">
        <v>4</v>
      </c>
      <c r="F5" s="29" t="s">
        <v>55</v>
      </c>
      <c r="G5" s="58" t="s">
        <v>94</v>
      </c>
    </row>
    <row r="6" spans="1:8" ht="18" x14ac:dyDescent="0.35">
      <c r="A6" s="52"/>
      <c r="B6" s="52"/>
      <c r="C6" s="52"/>
      <c r="D6" s="52"/>
      <c r="E6" s="9" t="s">
        <v>3</v>
      </c>
      <c r="F6" s="9" t="s">
        <v>3</v>
      </c>
      <c r="G6" s="59"/>
      <c r="H6" s="1"/>
    </row>
    <row r="7" spans="1:8" ht="21" x14ac:dyDescent="0.35">
      <c r="A7" s="47"/>
      <c r="B7" s="49">
        <v>46290</v>
      </c>
      <c r="C7" s="24" t="s">
        <v>95</v>
      </c>
      <c r="D7" s="47"/>
      <c r="E7" s="6">
        <v>80000000</v>
      </c>
      <c r="F7" s="6"/>
      <c r="G7" s="48"/>
      <c r="H7" s="1"/>
    </row>
    <row r="8" spans="1:8" ht="18" x14ac:dyDescent="0.35">
      <c r="A8" s="47"/>
      <c r="B8" s="49">
        <v>46291</v>
      </c>
      <c r="C8" s="24" t="s">
        <v>447</v>
      </c>
      <c r="D8" s="47" t="s">
        <v>332</v>
      </c>
      <c r="E8" s="6"/>
      <c r="F8" s="6">
        <f>IRSANDI!F19</f>
        <v>3500000</v>
      </c>
      <c r="G8" s="6" t="s">
        <v>429</v>
      </c>
      <c r="H8" s="1"/>
    </row>
    <row r="9" spans="1:8" ht="18" x14ac:dyDescent="0.35">
      <c r="A9" s="47"/>
      <c r="B9" s="49">
        <v>46291</v>
      </c>
      <c r="C9" s="24" t="s">
        <v>448</v>
      </c>
      <c r="D9" s="9" t="s">
        <v>37</v>
      </c>
      <c r="E9" s="6"/>
      <c r="F9" s="6">
        <f>'balai PU'!F60</f>
        <v>7500000</v>
      </c>
      <c r="G9" s="6" t="s">
        <v>429</v>
      </c>
      <c r="H9" s="1"/>
    </row>
    <row r="10" spans="1:8" ht="18" x14ac:dyDescent="0.35">
      <c r="A10" s="47"/>
      <c r="B10" s="49">
        <v>46291</v>
      </c>
      <c r="C10" s="24" t="s">
        <v>449</v>
      </c>
      <c r="D10" s="47" t="s">
        <v>42</v>
      </c>
      <c r="E10" s="6"/>
      <c r="F10" s="6">
        <f>'GUDANG JENNY'!F20</f>
        <v>6265000</v>
      </c>
      <c r="G10" s="6" t="s">
        <v>429</v>
      </c>
      <c r="H10" s="1"/>
    </row>
    <row r="11" spans="1:8" ht="18" x14ac:dyDescent="0.35">
      <c r="A11" s="47"/>
      <c r="B11" s="49">
        <v>46291</v>
      </c>
      <c r="C11" s="24" t="s">
        <v>449</v>
      </c>
      <c r="D11" s="47" t="s">
        <v>108</v>
      </c>
      <c r="E11" s="6"/>
      <c r="F11" s="6">
        <f>'NUR EFENDI'!F19</f>
        <v>6000000</v>
      </c>
      <c r="G11" s="6" t="s">
        <v>429</v>
      </c>
      <c r="H11" s="1"/>
    </row>
    <row r="12" spans="1:8" ht="18" x14ac:dyDescent="0.35">
      <c r="A12" s="47"/>
      <c r="B12" s="49">
        <v>46291</v>
      </c>
      <c r="C12" s="24" t="s">
        <v>450</v>
      </c>
      <c r="D12" s="9" t="s">
        <v>37</v>
      </c>
      <c r="E12" s="6"/>
      <c r="F12" s="6">
        <f>'balai PU'!F61</f>
        <v>9815000</v>
      </c>
      <c r="G12" s="6" t="s">
        <v>435</v>
      </c>
      <c r="H12" s="1"/>
    </row>
    <row r="13" spans="1:8" ht="18" x14ac:dyDescent="0.35">
      <c r="A13" s="47"/>
      <c r="B13" s="49">
        <v>46291</v>
      </c>
      <c r="C13" s="24" t="s">
        <v>446</v>
      </c>
      <c r="D13" s="9" t="s">
        <v>37</v>
      </c>
      <c r="E13" s="6"/>
      <c r="F13" s="6">
        <f>'balai PU'!F62</f>
        <v>20000000</v>
      </c>
      <c r="G13" s="50" t="s">
        <v>444</v>
      </c>
      <c r="H13" s="1"/>
    </row>
    <row r="14" spans="1:8" ht="18" x14ac:dyDescent="0.35">
      <c r="A14" s="47"/>
      <c r="B14" s="49">
        <v>46291</v>
      </c>
      <c r="C14" s="24" t="s">
        <v>451</v>
      </c>
      <c r="D14" s="9" t="s">
        <v>37</v>
      </c>
      <c r="E14" s="6"/>
      <c r="F14" s="6">
        <f>'balai PU'!F63</f>
        <v>20000000</v>
      </c>
      <c r="G14" s="6" t="s">
        <v>433</v>
      </c>
      <c r="H14" s="1"/>
    </row>
    <row r="15" spans="1:8" ht="18" x14ac:dyDescent="0.35">
      <c r="A15" s="47"/>
      <c r="B15" s="49">
        <v>46291</v>
      </c>
      <c r="C15" s="24" t="s">
        <v>438</v>
      </c>
      <c r="D15" s="9" t="s">
        <v>439</v>
      </c>
      <c r="E15" s="6"/>
      <c r="F15" s="6">
        <f>CIH!M21</f>
        <v>2000000</v>
      </c>
      <c r="G15" s="6" t="s">
        <v>437</v>
      </c>
      <c r="H15" s="1"/>
    </row>
    <row r="16" spans="1:8" ht="18" x14ac:dyDescent="0.35">
      <c r="A16" s="47"/>
      <c r="B16" s="49">
        <v>46290</v>
      </c>
      <c r="C16" s="24" t="s">
        <v>440</v>
      </c>
      <c r="D16" s="9" t="s">
        <v>439</v>
      </c>
      <c r="E16" s="6"/>
      <c r="F16" s="6">
        <f>CIH!E169</f>
        <v>4920000</v>
      </c>
      <c r="G16" s="6" t="s">
        <v>441</v>
      </c>
      <c r="H16" s="1"/>
    </row>
    <row r="17" spans="1:8" ht="21" x14ac:dyDescent="0.35">
      <c r="A17" s="47"/>
      <c r="B17" s="47"/>
      <c r="C17" s="24"/>
      <c r="D17" s="47"/>
      <c r="E17" s="6"/>
      <c r="F17" s="6"/>
      <c r="G17" s="48"/>
      <c r="H17" s="1"/>
    </row>
    <row r="18" spans="1:8" ht="21" x14ac:dyDescent="0.35">
      <c r="A18" s="47"/>
      <c r="B18" s="49">
        <v>46298</v>
      </c>
      <c r="C18" s="24" t="s">
        <v>95</v>
      </c>
      <c r="D18" s="47"/>
      <c r="E18" s="6">
        <v>40000000</v>
      </c>
      <c r="F18" s="6"/>
      <c r="G18" s="48"/>
      <c r="H18" s="1"/>
    </row>
    <row r="19" spans="1:8" ht="18" x14ac:dyDescent="0.35">
      <c r="A19" s="47"/>
      <c r="B19" s="49">
        <v>46298</v>
      </c>
      <c r="C19" s="24" t="s">
        <v>438</v>
      </c>
      <c r="D19" s="9" t="s">
        <v>439</v>
      </c>
      <c r="E19" s="6"/>
      <c r="F19" s="6">
        <f>CIH!M23</f>
        <v>2000000</v>
      </c>
      <c r="G19" s="6" t="s">
        <v>437</v>
      </c>
      <c r="H19" s="1"/>
    </row>
    <row r="20" spans="1:8" ht="18" x14ac:dyDescent="0.35">
      <c r="A20" s="47"/>
      <c r="B20" s="49">
        <v>46298</v>
      </c>
      <c r="C20" s="24" t="s">
        <v>442</v>
      </c>
      <c r="D20" s="9" t="s">
        <v>37</v>
      </c>
      <c r="E20" s="6"/>
      <c r="F20" s="6">
        <f>'balai PU'!F67</f>
        <v>20000000</v>
      </c>
      <c r="G20" s="6" t="s">
        <v>433</v>
      </c>
      <c r="H20" s="1"/>
    </row>
    <row r="21" spans="1:8" ht="18" x14ac:dyDescent="0.35">
      <c r="A21" s="47"/>
      <c r="B21" s="49">
        <v>46298</v>
      </c>
      <c r="C21" s="24" t="s">
        <v>443</v>
      </c>
      <c r="D21" s="9" t="s">
        <v>37</v>
      </c>
      <c r="E21" s="6"/>
      <c r="F21" s="6">
        <f>'balai PU'!F65</f>
        <v>12000000</v>
      </c>
      <c r="G21" s="6" t="s">
        <v>429</v>
      </c>
      <c r="H21" s="1"/>
    </row>
    <row r="22" spans="1:8" ht="18" x14ac:dyDescent="0.35">
      <c r="A22" s="47"/>
      <c r="B22" s="49">
        <v>46298</v>
      </c>
      <c r="C22" s="24" t="s">
        <v>446</v>
      </c>
      <c r="D22" s="9" t="s">
        <v>37</v>
      </c>
      <c r="E22" s="6"/>
      <c r="F22" s="6">
        <f>'balai PU'!F66</f>
        <v>5000000</v>
      </c>
      <c r="G22" s="50" t="s">
        <v>444</v>
      </c>
      <c r="H22" s="1"/>
    </row>
    <row r="23" spans="1:8" ht="18" x14ac:dyDescent="0.35">
      <c r="A23" s="47"/>
      <c r="B23" s="49">
        <v>46298</v>
      </c>
      <c r="C23" s="24" t="s">
        <v>445</v>
      </c>
      <c r="D23" s="9" t="s">
        <v>37</v>
      </c>
      <c r="E23" s="6"/>
      <c r="F23" s="6">
        <f>'balai PU'!F64</f>
        <v>1000000</v>
      </c>
      <c r="G23" s="6" t="s">
        <v>435</v>
      </c>
      <c r="H23" s="1"/>
    </row>
    <row r="24" spans="1:8" ht="21" x14ac:dyDescent="0.35">
      <c r="A24" s="47"/>
      <c r="B24" s="47"/>
      <c r="C24" s="47"/>
      <c r="D24" s="47"/>
      <c r="E24" s="6"/>
      <c r="F24" s="6"/>
      <c r="G24" s="48"/>
      <c r="H24" s="1"/>
    </row>
    <row r="25" spans="1:8" ht="21" x14ac:dyDescent="0.35">
      <c r="A25" s="47"/>
      <c r="B25" s="49">
        <v>46302</v>
      </c>
      <c r="C25" s="24" t="s">
        <v>95</v>
      </c>
      <c r="D25" s="47"/>
      <c r="E25" s="6">
        <v>5000000</v>
      </c>
      <c r="F25" s="6"/>
      <c r="G25" s="48"/>
      <c r="H25" s="1"/>
    </row>
    <row r="26" spans="1:8" ht="18" x14ac:dyDescent="0.35">
      <c r="A26" s="47"/>
      <c r="B26" s="49">
        <v>46302</v>
      </c>
      <c r="C26" s="24" t="s">
        <v>436</v>
      </c>
      <c r="D26" s="9" t="s">
        <v>37</v>
      </c>
      <c r="E26" s="6"/>
      <c r="F26" s="6">
        <f>'balai PU'!F69</f>
        <v>5000000</v>
      </c>
      <c r="G26" s="6" t="s">
        <v>435</v>
      </c>
      <c r="H26" s="1"/>
    </row>
    <row r="27" spans="1:8" ht="21" x14ac:dyDescent="0.35">
      <c r="A27" s="47"/>
      <c r="B27" s="47"/>
      <c r="C27" s="47"/>
      <c r="D27" s="47"/>
      <c r="E27" s="6"/>
      <c r="F27" s="6"/>
      <c r="G27" s="48"/>
      <c r="H27" s="1"/>
    </row>
    <row r="28" spans="1:8" ht="18" x14ac:dyDescent="0.35">
      <c r="A28" s="10"/>
      <c r="B28" s="31">
        <v>46305</v>
      </c>
      <c r="C28" s="24" t="s">
        <v>95</v>
      </c>
      <c r="D28" s="9"/>
      <c r="E28" s="6">
        <f>100000000+60000000</f>
        <v>160000000</v>
      </c>
      <c r="F28" s="6"/>
      <c r="G28" s="6" t="s">
        <v>428</v>
      </c>
      <c r="H28" s="1"/>
    </row>
    <row r="29" spans="1:8" ht="18" x14ac:dyDescent="0.35">
      <c r="A29" s="10"/>
      <c r="B29" s="31">
        <v>46305</v>
      </c>
      <c r="C29" s="24" t="s">
        <v>431</v>
      </c>
      <c r="D29" s="9" t="s">
        <v>37</v>
      </c>
      <c r="E29" s="6"/>
      <c r="F29" s="6">
        <f>'balai PU'!F70</f>
        <v>20000000</v>
      </c>
      <c r="G29" s="6" t="s">
        <v>429</v>
      </c>
      <c r="H29" s="1"/>
    </row>
    <row r="30" spans="1:8" ht="18" x14ac:dyDescent="0.35">
      <c r="A30" s="10"/>
      <c r="B30" s="31">
        <v>46305</v>
      </c>
      <c r="C30" s="24" t="s">
        <v>430</v>
      </c>
      <c r="D30" s="9" t="s">
        <v>163</v>
      </c>
      <c r="E30" s="6"/>
      <c r="F30" s="6">
        <f>IPUT!F21</f>
        <v>40000000</v>
      </c>
      <c r="G30" s="6" t="s">
        <v>432</v>
      </c>
    </row>
    <row r="31" spans="1:8" ht="18" x14ac:dyDescent="0.35">
      <c r="A31" s="10"/>
      <c r="B31" s="31">
        <v>46305</v>
      </c>
      <c r="C31" s="24" t="s">
        <v>434</v>
      </c>
      <c r="D31" s="9" t="s">
        <v>37</v>
      </c>
      <c r="E31" s="6"/>
      <c r="F31" s="6">
        <f>'balai PU'!F71</f>
        <v>40000000</v>
      </c>
      <c r="G31" s="6" t="s">
        <v>433</v>
      </c>
    </row>
    <row r="32" spans="1:8" ht="18" x14ac:dyDescent="0.35">
      <c r="A32" s="10"/>
      <c r="B32" s="31">
        <v>46305</v>
      </c>
      <c r="C32" s="24" t="s">
        <v>445</v>
      </c>
      <c r="D32" s="9" t="s">
        <v>37</v>
      </c>
      <c r="E32" s="6"/>
      <c r="F32" s="6">
        <f>'balai PU'!F72</f>
        <v>10000000</v>
      </c>
      <c r="G32" s="6" t="s">
        <v>435</v>
      </c>
    </row>
    <row r="33" spans="1:7" ht="18" x14ac:dyDescent="0.35">
      <c r="A33" s="10"/>
      <c r="B33" s="31">
        <v>46306</v>
      </c>
      <c r="C33" s="24" t="s">
        <v>438</v>
      </c>
      <c r="D33" s="9" t="s">
        <v>439</v>
      </c>
      <c r="E33" s="6"/>
      <c r="F33" s="6">
        <f>CIH!N26</f>
        <v>2000000</v>
      </c>
      <c r="G33" s="6" t="s">
        <v>437</v>
      </c>
    </row>
    <row r="34" spans="1:7" ht="18" x14ac:dyDescent="0.35">
      <c r="A34" s="10"/>
      <c r="B34" s="31"/>
      <c r="C34" s="24" t="s">
        <v>440</v>
      </c>
      <c r="D34" s="9" t="s">
        <v>439</v>
      </c>
      <c r="E34" s="6"/>
      <c r="F34" s="6">
        <f>CIH!E213</f>
        <v>6000000</v>
      </c>
      <c r="G34" s="6" t="s">
        <v>441</v>
      </c>
    </row>
    <row r="35" spans="1:7" ht="18" x14ac:dyDescent="0.35">
      <c r="A35" s="10"/>
      <c r="B35" s="31"/>
      <c r="C35" s="24"/>
      <c r="D35" s="9"/>
      <c r="E35" s="6"/>
      <c r="F35" s="6"/>
      <c r="G35" s="6"/>
    </row>
    <row r="36" spans="1:7" ht="18" x14ac:dyDescent="0.35">
      <c r="A36" s="55" t="s">
        <v>1</v>
      </c>
      <c r="B36" s="60"/>
      <c r="C36" s="61"/>
      <c r="D36" s="28"/>
      <c r="E36" s="15">
        <f>SUM(E7:E35)</f>
        <v>285000000</v>
      </c>
      <c r="F36" s="15">
        <f>SUM(F7:F35)</f>
        <v>243000000</v>
      </c>
      <c r="G36" s="15"/>
    </row>
    <row r="37" spans="1:7" ht="21.75" customHeight="1" x14ac:dyDescent="0.35">
      <c r="A37" s="55"/>
      <c r="B37" s="60"/>
      <c r="C37" s="61"/>
      <c r="D37" s="28"/>
      <c r="E37" s="62">
        <f>E36-F36</f>
        <v>42000000</v>
      </c>
      <c r="F37" s="63"/>
      <c r="G37" s="12"/>
    </row>
  </sheetData>
  <mergeCells count="8">
    <mergeCell ref="G5:G6"/>
    <mergeCell ref="A36:C36"/>
    <mergeCell ref="E37:F37"/>
    <mergeCell ref="A37:C37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731-652D-40DA-8357-DA34838B92B4}">
  <dimension ref="A3:O221"/>
  <sheetViews>
    <sheetView topLeftCell="A176" zoomScale="40" zoomScaleNormal="40" workbookViewId="0">
      <selection activeCell="A2" sqref="A2:O222"/>
    </sheetView>
  </sheetViews>
  <sheetFormatPr defaultRowHeight="14.4" x14ac:dyDescent="0.3"/>
  <cols>
    <col min="1" max="1" width="6" customWidth="1"/>
    <col min="2" max="2" width="19.33203125" style="4" customWidth="1"/>
    <col min="3" max="3" width="55.109375" customWidth="1"/>
    <col min="4" max="4" width="26.33203125" style="4" customWidth="1"/>
    <col min="5" max="5" width="24.6640625" customWidth="1"/>
    <col min="6" max="6" width="26.109375" customWidth="1"/>
    <col min="7" max="7" width="41.33203125" customWidth="1"/>
    <col min="8" max="8" width="25.33203125" customWidth="1"/>
    <col min="9" max="9" width="7" customWidth="1"/>
    <col min="10" max="10" width="17.6640625" customWidth="1"/>
    <col min="11" max="11" width="31.5546875" customWidth="1"/>
    <col min="12" max="12" width="11.6640625" style="4" customWidth="1"/>
    <col min="13" max="13" width="32" customWidth="1"/>
    <col min="14" max="14" width="32.33203125" customWidth="1"/>
    <col min="15" max="15" width="22.109375" customWidth="1"/>
  </cols>
  <sheetData>
    <row r="3" spans="1:15" ht="23.4" x14ac:dyDescent="0.45">
      <c r="A3" s="36" t="s">
        <v>90</v>
      </c>
      <c r="I3" s="36" t="s">
        <v>98</v>
      </c>
    </row>
    <row r="4" spans="1:15" ht="21" x14ac:dyDescent="0.4">
      <c r="A4" s="2"/>
      <c r="B4" s="2"/>
      <c r="C4" s="2"/>
      <c r="D4" s="2"/>
      <c r="E4" s="2"/>
      <c r="F4" s="2"/>
      <c r="G4" s="2"/>
      <c r="H4" s="2"/>
    </row>
    <row r="5" spans="1:15" ht="21" customHeight="1" x14ac:dyDescent="0.3">
      <c r="A5" s="52" t="s">
        <v>0</v>
      </c>
      <c r="B5" s="52" t="s">
        <v>2</v>
      </c>
      <c r="C5" s="52" t="s">
        <v>53</v>
      </c>
      <c r="D5" s="52" t="s">
        <v>93</v>
      </c>
      <c r="E5" s="29" t="s">
        <v>4</v>
      </c>
      <c r="F5" s="29" t="s">
        <v>55</v>
      </c>
      <c r="G5" s="58" t="s">
        <v>94</v>
      </c>
      <c r="I5" s="52" t="s">
        <v>0</v>
      </c>
      <c r="J5" s="52" t="s">
        <v>2</v>
      </c>
      <c r="K5" s="52" t="s">
        <v>53</v>
      </c>
      <c r="L5" s="52" t="s">
        <v>93</v>
      </c>
      <c r="M5" s="29" t="s">
        <v>4</v>
      </c>
      <c r="N5" s="29" t="s">
        <v>55</v>
      </c>
      <c r="O5" s="58" t="s">
        <v>94</v>
      </c>
    </row>
    <row r="6" spans="1:15" ht="18" x14ac:dyDescent="0.35">
      <c r="A6" s="52"/>
      <c r="B6" s="52"/>
      <c r="C6" s="52"/>
      <c r="D6" s="52"/>
      <c r="E6" s="9" t="s">
        <v>3</v>
      </c>
      <c r="F6" s="9" t="s">
        <v>3</v>
      </c>
      <c r="G6" s="59"/>
      <c r="H6" s="1"/>
      <c r="I6" s="52"/>
      <c r="J6" s="52"/>
      <c r="K6" s="52"/>
      <c r="L6" s="52"/>
      <c r="M6" s="9" t="s">
        <v>3</v>
      </c>
      <c r="N6" s="9" t="s">
        <v>3</v>
      </c>
      <c r="O6" s="59"/>
    </row>
    <row r="7" spans="1:15" ht="18" x14ac:dyDescent="0.35">
      <c r="A7" s="10">
        <v>1</v>
      </c>
      <c r="B7" s="31">
        <v>46225</v>
      </c>
      <c r="C7" s="24" t="s">
        <v>95</v>
      </c>
      <c r="D7" s="9"/>
      <c r="E7" s="6">
        <v>1000000</v>
      </c>
      <c r="F7" s="6"/>
      <c r="G7" s="6"/>
      <c r="H7" s="1"/>
      <c r="I7" s="10">
        <v>1</v>
      </c>
      <c r="J7" s="30">
        <v>46222</v>
      </c>
      <c r="K7" s="24" t="s">
        <v>95</v>
      </c>
      <c r="L7" s="9"/>
      <c r="M7" s="6">
        <v>2000000</v>
      </c>
      <c r="N7" s="6"/>
      <c r="O7" s="6"/>
    </row>
    <row r="8" spans="1:15" ht="18" x14ac:dyDescent="0.35">
      <c r="A8" s="10">
        <v>2</v>
      </c>
      <c r="B8" s="31">
        <v>46204</v>
      </c>
      <c r="C8" s="24" t="s">
        <v>265</v>
      </c>
      <c r="D8" s="9" t="s">
        <v>263</v>
      </c>
      <c r="E8" s="6"/>
      <c r="F8" s="6">
        <v>30000</v>
      </c>
      <c r="G8" s="6"/>
      <c r="H8" s="1"/>
      <c r="I8" s="10">
        <f>I7+1</f>
        <v>2</v>
      </c>
      <c r="J8" s="30">
        <v>46223</v>
      </c>
      <c r="K8" s="24" t="s">
        <v>112</v>
      </c>
      <c r="L8" s="9"/>
      <c r="M8" s="6"/>
      <c r="N8" s="6">
        <v>2000000</v>
      </c>
      <c r="O8" s="6"/>
    </row>
    <row r="9" spans="1:15" ht="18" x14ac:dyDescent="0.35">
      <c r="A9" s="10">
        <v>3</v>
      </c>
      <c r="B9" s="31">
        <v>46204</v>
      </c>
      <c r="C9" s="24" t="s">
        <v>269</v>
      </c>
      <c r="D9" s="9" t="s">
        <v>263</v>
      </c>
      <c r="E9" s="6"/>
      <c r="F9" s="6">
        <v>174000</v>
      </c>
      <c r="G9" s="6"/>
      <c r="H9" s="1"/>
      <c r="I9" s="10">
        <f>I8+1</f>
        <v>3</v>
      </c>
      <c r="J9" s="30">
        <v>46229</v>
      </c>
      <c r="K9" s="24" t="s">
        <v>95</v>
      </c>
      <c r="L9" s="9"/>
      <c r="M9" s="6">
        <v>2000000</v>
      </c>
      <c r="N9" s="6"/>
      <c r="O9" s="6"/>
    </row>
    <row r="10" spans="1:15" ht="18" x14ac:dyDescent="0.35">
      <c r="A10" s="10">
        <v>4</v>
      </c>
      <c r="B10" s="31">
        <v>46220</v>
      </c>
      <c r="C10" s="24" t="s">
        <v>97</v>
      </c>
      <c r="D10" s="9"/>
      <c r="E10" s="6"/>
      <c r="F10" s="6">
        <v>15000</v>
      </c>
      <c r="G10" s="6"/>
      <c r="H10" s="1"/>
      <c r="I10" s="10">
        <f>I9+1</f>
        <v>4</v>
      </c>
      <c r="J10" s="30">
        <v>46230</v>
      </c>
      <c r="K10" s="24" t="s">
        <v>112</v>
      </c>
      <c r="L10" s="9"/>
      <c r="M10" s="6"/>
      <c r="N10" s="6">
        <v>2000000</v>
      </c>
      <c r="O10" s="6"/>
    </row>
    <row r="11" spans="1:15" ht="18" x14ac:dyDescent="0.35">
      <c r="A11" s="10">
        <v>5</v>
      </c>
      <c r="B11" s="31">
        <v>46223</v>
      </c>
      <c r="C11" s="24" t="s">
        <v>99</v>
      </c>
      <c r="D11" s="9"/>
      <c r="E11" s="6"/>
      <c r="F11" s="6">
        <v>105000</v>
      </c>
      <c r="G11" s="6"/>
      <c r="H11" s="1"/>
      <c r="I11" s="10">
        <f>I10+1</f>
        <v>5</v>
      </c>
      <c r="J11" s="30">
        <v>46242</v>
      </c>
      <c r="K11" s="24" t="s">
        <v>95</v>
      </c>
      <c r="L11" s="9"/>
      <c r="M11" s="6">
        <v>2000000</v>
      </c>
      <c r="N11" s="6"/>
      <c r="O11" s="6"/>
    </row>
    <row r="12" spans="1:15" ht="18" x14ac:dyDescent="0.35">
      <c r="A12" s="10">
        <v>6</v>
      </c>
      <c r="B12" s="31">
        <v>46223</v>
      </c>
      <c r="C12" s="24" t="s">
        <v>100</v>
      </c>
      <c r="D12" s="9"/>
      <c r="E12" s="6"/>
      <c r="F12" s="6">
        <v>100000</v>
      </c>
      <c r="G12" s="6"/>
      <c r="H12" s="1"/>
      <c r="I12" s="10">
        <f>I11+1</f>
        <v>6</v>
      </c>
      <c r="J12" s="30">
        <v>46242</v>
      </c>
      <c r="K12" s="24" t="s">
        <v>112</v>
      </c>
      <c r="L12" s="9"/>
      <c r="M12" s="6"/>
      <c r="N12" s="6">
        <v>2000000</v>
      </c>
      <c r="O12" s="6"/>
    </row>
    <row r="13" spans="1:15" ht="21" x14ac:dyDescent="0.4">
      <c r="A13" s="10">
        <v>7</v>
      </c>
      <c r="B13" s="31">
        <v>46224</v>
      </c>
      <c r="C13" s="24" t="s">
        <v>101</v>
      </c>
      <c r="D13" s="9"/>
      <c r="E13" s="6"/>
      <c r="F13" s="6">
        <v>369300</v>
      </c>
      <c r="G13" s="6"/>
      <c r="I13" s="10">
        <v>7</v>
      </c>
      <c r="J13" s="30">
        <v>46255</v>
      </c>
      <c r="K13" s="24" t="s">
        <v>95</v>
      </c>
      <c r="L13" s="9"/>
      <c r="M13" s="6">
        <v>2000000</v>
      </c>
      <c r="N13" s="6"/>
      <c r="O13" s="19"/>
    </row>
    <row r="14" spans="1:15" ht="18" x14ac:dyDescent="0.35">
      <c r="A14" s="10">
        <v>8</v>
      </c>
      <c r="B14" s="31">
        <v>46225</v>
      </c>
      <c r="C14" s="24" t="s">
        <v>102</v>
      </c>
      <c r="D14" s="9" t="s">
        <v>37</v>
      </c>
      <c r="E14" s="6"/>
      <c r="F14" s="6">
        <v>117000</v>
      </c>
      <c r="G14" s="6" t="s">
        <v>103</v>
      </c>
      <c r="I14" s="10">
        <v>8</v>
      </c>
      <c r="J14" s="30">
        <v>46255</v>
      </c>
      <c r="K14" s="24" t="s">
        <v>112</v>
      </c>
      <c r="L14" s="9"/>
      <c r="M14" s="6"/>
      <c r="N14" s="6">
        <v>2000000</v>
      </c>
      <c r="O14" s="6"/>
    </row>
    <row r="15" spans="1:15" ht="21" x14ac:dyDescent="0.4">
      <c r="A15" s="10">
        <v>9</v>
      </c>
      <c r="B15" s="31">
        <v>46225</v>
      </c>
      <c r="C15" s="24" t="s">
        <v>96</v>
      </c>
      <c r="D15" s="9" t="s">
        <v>152</v>
      </c>
      <c r="E15" s="6"/>
      <c r="F15" s="6">
        <v>500000</v>
      </c>
      <c r="G15" s="19"/>
      <c r="I15" s="10">
        <v>9</v>
      </c>
      <c r="J15" s="30">
        <v>46264</v>
      </c>
      <c r="K15" s="24" t="s">
        <v>95</v>
      </c>
      <c r="L15" s="9"/>
      <c r="M15" s="6">
        <v>2000000</v>
      </c>
      <c r="N15" s="6"/>
      <c r="O15" s="6"/>
    </row>
    <row r="16" spans="1:15" ht="18" x14ac:dyDescent="0.35">
      <c r="A16" s="10">
        <v>10</v>
      </c>
      <c r="B16" s="31">
        <v>46225</v>
      </c>
      <c r="C16" s="24" t="s">
        <v>104</v>
      </c>
      <c r="D16" s="9"/>
      <c r="E16" s="6"/>
      <c r="F16" s="6">
        <v>119300</v>
      </c>
      <c r="G16" s="6"/>
      <c r="I16" s="10">
        <v>10</v>
      </c>
      <c r="J16" s="30">
        <v>46265</v>
      </c>
      <c r="K16" s="24" t="s">
        <v>112</v>
      </c>
      <c r="L16" s="9"/>
      <c r="M16" s="6"/>
      <c r="N16" s="6">
        <v>2000000</v>
      </c>
      <c r="O16" s="6"/>
    </row>
    <row r="17" spans="1:15" ht="18" x14ac:dyDescent="0.35">
      <c r="A17" s="10">
        <v>11</v>
      </c>
      <c r="B17" s="31">
        <v>46225</v>
      </c>
      <c r="C17" s="24" t="s">
        <v>97</v>
      </c>
      <c r="D17" s="9"/>
      <c r="E17" s="6"/>
      <c r="F17" s="6">
        <v>15000</v>
      </c>
      <c r="G17" s="6"/>
      <c r="I17" s="10">
        <v>11</v>
      </c>
      <c r="J17" s="30">
        <v>46270</v>
      </c>
      <c r="K17" s="24" t="s">
        <v>95</v>
      </c>
      <c r="L17" s="9"/>
      <c r="M17" s="6">
        <v>2000000</v>
      </c>
      <c r="N17" s="6"/>
      <c r="O17" s="6"/>
    </row>
    <row r="18" spans="1:15" ht="18" x14ac:dyDescent="0.35">
      <c r="A18" s="10">
        <v>12</v>
      </c>
      <c r="B18" s="31">
        <v>46225</v>
      </c>
      <c r="C18" s="24" t="s">
        <v>107</v>
      </c>
      <c r="D18" s="9" t="s">
        <v>108</v>
      </c>
      <c r="E18" s="6"/>
      <c r="F18" s="6">
        <v>30000</v>
      </c>
      <c r="G18" s="6"/>
      <c r="I18" s="10">
        <v>12</v>
      </c>
      <c r="J18" s="30">
        <v>46273</v>
      </c>
      <c r="K18" s="24" t="s">
        <v>112</v>
      </c>
      <c r="L18" s="9"/>
      <c r="M18" s="6"/>
      <c r="N18" s="6">
        <v>2000000</v>
      </c>
      <c r="O18" s="6"/>
    </row>
    <row r="19" spans="1:15" ht="18" x14ac:dyDescent="0.35">
      <c r="A19" s="10">
        <v>13</v>
      </c>
      <c r="B19" s="31">
        <v>46226</v>
      </c>
      <c r="C19" s="24" t="s">
        <v>105</v>
      </c>
      <c r="D19" s="9" t="s">
        <v>109</v>
      </c>
      <c r="E19" s="6"/>
      <c r="F19" s="6">
        <v>150000</v>
      </c>
      <c r="G19" s="6"/>
      <c r="I19" s="10">
        <v>13</v>
      </c>
      <c r="J19" s="30">
        <v>46277</v>
      </c>
      <c r="K19" s="24" t="s">
        <v>95</v>
      </c>
      <c r="L19" s="9"/>
      <c r="M19" s="6">
        <v>2000000</v>
      </c>
      <c r="N19" s="6"/>
      <c r="O19" s="6"/>
    </row>
    <row r="20" spans="1:15" ht="21" x14ac:dyDescent="0.4">
      <c r="A20" s="10">
        <v>14</v>
      </c>
      <c r="B20" s="31">
        <v>46226</v>
      </c>
      <c r="C20" s="24" t="s">
        <v>110</v>
      </c>
      <c r="D20" s="9" t="s">
        <v>111</v>
      </c>
      <c r="E20" s="6"/>
      <c r="F20" s="6">
        <v>100000</v>
      </c>
      <c r="G20" s="6"/>
      <c r="I20" s="10">
        <v>14</v>
      </c>
      <c r="J20" s="30">
        <v>46280</v>
      </c>
      <c r="K20" s="24" t="s">
        <v>112</v>
      </c>
      <c r="L20" s="9"/>
      <c r="M20" s="6"/>
      <c r="N20" s="6">
        <v>2000000</v>
      </c>
      <c r="O20" s="19"/>
    </row>
    <row r="21" spans="1:15" ht="21" x14ac:dyDescent="0.4">
      <c r="A21" s="10">
        <v>15</v>
      </c>
      <c r="B21" s="31">
        <v>46227</v>
      </c>
      <c r="C21" s="24" t="s">
        <v>119</v>
      </c>
      <c r="D21" s="9" t="s">
        <v>109</v>
      </c>
      <c r="E21" s="6"/>
      <c r="F21" s="6">
        <v>36000</v>
      </c>
      <c r="G21" s="6"/>
      <c r="I21" s="10">
        <v>15</v>
      </c>
      <c r="J21" s="30">
        <v>46290</v>
      </c>
      <c r="K21" s="24" t="s">
        <v>95</v>
      </c>
      <c r="L21" s="9"/>
      <c r="M21" s="6">
        <v>2000000</v>
      </c>
      <c r="N21" s="6"/>
      <c r="O21" s="19"/>
    </row>
    <row r="22" spans="1:15" ht="21" x14ac:dyDescent="0.4">
      <c r="A22" s="10">
        <v>16</v>
      </c>
      <c r="B22" s="31">
        <v>46227</v>
      </c>
      <c r="C22" s="24" t="s">
        <v>110</v>
      </c>
      <c r="D22" s="9" t="s">
        <v>111</v>
      </c>
      <c r="E22" s="6"/>
      <c r="F22" s="6">
        <v>50000</v>
      </c>
      <c r="G22" s="19"/>
      <c r="I22" s="10">
        <v>16</v>
      </c>
      <c r="J22" s="30">
        <v>46291</v>
      </c>
      <c r="K22" s="24" t="s">
        <v>112</v>
      </c>
      <c r="L22" s="9"/>
      <c r="M22" s="6"/>
      <c r="N22" s="6">
        <v>2000000</v>
      </c>
      <c r="O22" s="19"/>
    </row>
    <row r="23" spans="1:15" ht="21" x14ac:dyDescent="0.4">
      <c r="A23" s="10">
        <v>17</v>
      </c>
      <c r="B23" s="31">
        <v>46228</v>
      </c>
      <c r="C23" s="24" t="s">
        <v>132</v>
      </c>
      <c r="D23" s="9" t="s">
        <v>109</v>
      </c>
      <c r="E23" s="6"/>
      <c r="F23" s="6">
        <v>10000</v>
      </c>
      <c r="G23" s="19"/>
      <c r="I23" s="10">
        <v>17</v>
      </c>
      <c r="J23" s="30">
        <v>46298</v>
      </c>
      <c r="K23" s="24" t="s">
        <v>95</v>
      </c>
      <c r="L23" s="9"/>
      <c r="M23" s="6">
        <v>2000000</v>
      </c>
      <c r="N23" s="6"/>
      <c r="O23" s="19"/>
    </row>
    <row r="24" spans="1:15" ht="21" x14ac:dyDescent="0.4">
      <c r="A24" s="10">
        <v>18</v>
      </c>
      <c r="B24" s="31">
        <v>46228</v>
      </c>
      <c r="C24" s="24" t="s">
        <v>120</v>
      </c>
      <c r="D24" s="9"/>
      <c r="E24" s="6"/>
      <c r="F24" s="6">
        <v>50000</v>
      </c>
      <c r="G24" s="19"/>
      <c r="I24" s="10">
        <v>18</v>
      </c>
      <c r="J24" s="30">
        <v>46298</v>
      </c>
      <c r="K24" s="24" t="s">
        <v>112</v>
      </c>
      <c r="L24" s="9"/>
      <c r="M24" s="6"/>
      <c r="N24" s="6">
        <v>2000000</v>
      </c>
      <c r="O24" s="19"/>
    </row>
    <row r="25" spans="1:15" ht="21" x14ac:dyDescent="0.4">
      <c r="A25" s="10">
        <v>19</v>
      </c>
      <c r="B25" s="31">
        <v>46228</v>
      </c>
      <c r="C25" s="24" t="s">
        <v>125</v>
      </c>
      <c r="D25" s="9"/>
      <c r="E25" s="6"/>
      <c r="F25" s="6">
        <v>20200</v>
      </c>
      <c r="G25" s="19"/>
      <c r="I25" s="10">
        <v>19</v>
      </c>
      <c r="J25" s="30">
        <v>46305</v>
      </c>
      <c r="K25" s="24" t="s">
        <v>95</v>
      </c>
      <c r="L25" s="9"/>
      <c r="M25" s="6">
        <v>2000000</v>
      </c>
      <c r="N25" s="6"/>
      <c r="O25" s="19"/>
    </row>
    <row r="26" spans="1:15" ht="21" x14ac:dyDescent="0.4">
      <c r="A26" s="10">
        <v>20</v>
      </c>
      <c r="B26" s="31">
        <v>46229</v>
      </c>
      <c r="C26" s="24" t="s">
        <v>121</v>
      </c>
      <c r="D26" s="9" t="s">
        <v>37</v>
      </c>
      <c r="E26" s="6"/>
      <c r="F26" s="6">
        <v>50000</v>
      </c>
      <c r="G26" s="19"/>
      <c r="I26" s="10"/>
      <c r="J26" s="30">
        <v>46306</v>
      </c>
      <c r="K26" s="24" t="s">
        <v>112</v>
      </c>
      <c r="L26" s="9"/>
      <c r="M26" s="6"/>
      <c r="N26" s="6">
        <v>2000000</v>
      </c>
      <c r="O26" s="19"/>
    </row>
    <row r="27" spans="1:15" ht="21" x14ac:dyDescent="0.4">
      <c r="A27" s="10">
        <v>21</v>
      </c>
      <c r="B27" s="31">
        <v>46229</v>
      </c>
      <c r="C27" s="24" t="s">
        <v>129</v>
      </c>
      <c r="D27" s="9" t="s">
        <v>37</v>
      </c>
      <c r="E27" s="6"/>
      <c r="F27" s="6">
        <v>48500</v>
      </c>
      <c r="G27" s="19"/>
      <c r="I27" s="10"/>
      <c r="J27" s="30"/>
      <c r="K27" s="24"/>
      <c r="L27" s="9"/>
      <c r="M27" s="6"/>
      <c r="N27" s="6"/>
      <c r="O27" s="19"/>
    </row>
    <row r="28" spans="1:15" ht="21" x14ac:dyDescent="0.4">
      <c r="A28" s="10">
        <v>22</v>
      </c>
      <c r="B28" s="31">
        <v>46229</v>
      </c>
      <c r="C28" s="24" t="s">
        <v>95</v>
      </c>
      <c r="D28" s="9"/>
      <c r="E28" s="6">
        <v>2700000</v>
      </c>
      <c r="F28" s="6"/>
      <c r="G28" s="19"/>
      <c r="I28" s="10"/>
      <c r="J28" s="30"/>
      <c r="K28" s="24"/>
      <c r="L28" s="9"/>
      <c r="M28" s="6"/>
      <c r="N28" s="6"/>
      <c r="O28" s="19"/>
    </row>
    <row r="29" spans="1:15" ht="21" x14ac:dyDescent="0.4">
      <c r="A29" s="10">
        <v>23</v>
      </c>
      <c r="B29" s="31">
        <v>46230</v>
      </c>
      <c r="C29" s="24" t="s">
        <v>127</v>
      </c>
      <c r="D29" s="9" t="s">
        <v>128</v>
      </c>
      <c r="E29" s="6"/>
      <c r="F29" s="6">
        <v>36000</v>
      </c>
      <c r="G29" s="19"/>
      <c r="I29" s="10"/>
      <c r="J29" s="30"/>
      <c r="K29" s="24"/>
      <c r="L29" s="9"/>
      <c r="M29" s="6"/>
      <c r="N29" s="6"/>
      <c r="O29" s="19"/>
    </row>
    <row r="30" spans="1:15" ht="21" x14ac:dyDescent="0.4">
      <c r="A30" s="10">
        <v>24</v>
      </c>
      <c r="B30" s="31">
        <v>46231</v>
      </c>
      <c r="C30" s="24" t="s">
        <v>124</v>
      </c>
      <c r="D30" s="9"/>
      <c r="E30" s="6"/>
      <c r="F30" s="6">
        <v>10000</v>
      </c>
      <c r="G30" s="19"/>
      <c r="I30" s="10"/>
      <c r="J30" s="30"/>
      <c r="K30" s="24"/>
      <c r="L30" s="9"/>
      <c r="M30" s="6"/>
      <c r="N30" s="6"/>
      <c r="O30" s="19"/>
    </row>
    <row r="31" spans="1:15" ht="21" x14ac:dyDescent="0.4">
      <c r="A31" s="10">
        <v>25</v>
      </c>
      <c r="B31" s="31">
        <v>46231</v>
      </c>
      <c r="C31" s="24" t="s">
        <v>122</v>
      </c>
      <c r="D31" s="9" t="s">
        <v>42</v>
      </c>
      <c r="E31" s="6"/>
      <c r="F31" s="6">
        <v>100000</v>
      </c>
      <c r="G31" s="19"/>
      <c r="I31" s="10"/>
      <c r="J31" s="10"/>
      <c r="K31" s="24"/>
      <c r="L31" s="9"/>
      <c r="M31" s="6"/>
      <c r="N31" s="6"/>
      <c r="O31" s="19"/>
    </row>
    <row r="32" spans="1:15" ht="21" x14ac:dyDescent="0.4">
      <c r="A32" s="10">
        <v>26</v>
      </c>
      <c r="B32" s="31">
        <v>46231</v>
      </c>
      <c r="C32" s="24" t="s">
        <v>126</v>
      </c>
      <c r="D32" s="9"/>
      <c r="E32" s="6"/>
      <c r="F32" s="6">
        <v>38000</v>
      </c>
      <c r="G32" s="19"/>
      <c r="I32" s="10"/>
      <c r="J32" s="10"/>
      <c r="K32" s="24"/>
      <c r="L32" s="9"/>
      <c r="M32" s="6"/>
      <c r="N32" s="6"/>
      <c r="O32" s="19"/>
    </row>
    <row r="33" spans="1:15" ht="21" x14ac:dyDescent="0.4">
      <c r="A33" s="10">
        <v>27</v>
      </c>
      <c r="B33" s="31">
        <v>46232</v>
      </c>
      <c r="C33" s="24" t="s">
        <v>123</v>
      </c>
      <c r="D33" s="9" t="s">
        <v>37</v>
      </c>
      <c r="E33" s="6"/>
      <c r="F33" s="6">
        <v>94500</v>
      </c>
      <c r="G33" s="19"/>
      <c r="I33" s="12"/>
      <c r="J33" s="12"/>
      <c r="K33" s="13"/>
      <c r="L33" s="13"/>
      <c r="M33" s="6"/>
      <c r="N33" s="12"/>
      <c r="O33" s="19"/>
    </row>
    <row r="34" spans="1:15" ht="21" x14ac:dyDescent="0.4">
      <c r="A34" s="10">
        <v>28</v>
      </c>
      <c r="B34" s="31">
        <v>46233</v>
      </c>
      <c r="C34" s="24" t="s">
        <v>104</v>
      </c>
      <c r="D34" s="9"/>
      <c r="E34" s="6"/>
      <c r="F34" s="6">
        <v>95700</v>
      </c>
      <c r="G34" s="19"/>
      <c r="I34" s="54" t="s">
        <v>1</v>
      </c>
      <c r="J34" s="54"/>
      <c r="K34" s="54"/>
      <c r="L34" s="28"/>
      <c r="M34" s="15">
        <f>SUM(M7:M33)</f>
        <v>20000000</v>
      </c>
      <c r="N34" s="15">
        <f>SUM(N7:N33)</f>
        <v>20000000</v>
      </c>
      <c r="O34" s="22"/>
    </row>
    <row r="35" spans="1:15" ht="21" x14ac:dyDescent="0.4">
      <c r="A35" s="10">
        <v>29</v>
      </c>
      <c r="B35" s="31">
        <v>46233</v>
      </c>
      <c r="C35" s="24" t="s">
        <v>133</v>
      </c>
      <c r="D35" s="9"/>
      <c r="E35" s="6"/>
      <c r="F35" s="6">
        <v>50000</v>
      </c>
      <c r="G35" s="19"/>
    </row>
    <row r="36" spans="1:15" ht="23.4" x14ac:dyDescent="0.45">
      <c r="A36" s="10">
        <v>30</v>
      </c>
      <c r="B36" s="31">
        <v>46233</v>
      </c>
      <c r="C36" s="24" t="s">
        <v>134</v>
      </c>
      <c r="D36" s="9"/>
      <c r="E36" s="6"/>
      <c r="F36" s="6">
        <v>342990</v>
      </c>
      <c r="G36" s="19"/>
      <c r="I36" s="36" t="s">
        <v>187</v>
      </c>
    </row>
    <row r="37" spans="1:15" ht="21" x14ac:dyDescent="0.4">
      <c r="A37" s="10">
        <v>31</v>
      </c>
      <c r="B37" s="31">
        <v>46234</v>
      </c>
      <c r="C37" s="24" t="s">
        <v>135</v>
      </c>
      <c r="D37" s="9" t="s">
        <v>136</v>
      </c>
      <c r="E37" s="6"/>
      <c r="F37" s="6">
        <v>451500</v>
      </c>
      <c r="G37" s="19"/>
    </row>
    <row r="38" spans="1:15" ht="21" x14ac:dyDescent="0.4">
      <c r="A38" s="10">
        <v>32</v>
      </c>
      <c r="B38" s="31">
        <v>46234</v>
      </c>
      <c r="C38" s="24" t="s">
        <v>137</v>
      </c>
      <c r="D38" s="9" t="s">
        <v>136</v>
      </c>
      <c r="E38" s="6"/>
      <c r="F38" s="6">
        <v>24000</v>
      </c>
      <c r="G38" s="19"/>
      <c r="I38" s="52" t="s">
        <v>0</v>
      </c>
      <c r="J38" s="52" t="s">
        <v>2</v>
      </c>
      <c r="K38" s="52" t="s">
        <v>53</v>
      </c>
      <c r="L38" s="52" t="s">
        <v>93</v>
      </c>
      <c r="M38" s="29" t="s">
        <v>4</v>
      </c>
      <c r="N38" s="29" t="s">
        <v>55</v>
      </c>
      <c r="O38" s="58" t="s">
        <v>94</v>
      </c>
    </row>
    <row r="39" spans="1:15" ht="21" x14ac:dyDescent="0.4">
      <c r="A39" s="10">
        <v>33</v>
      </c>
      <c r="B39" s="31">
        <v>46234</v>
      </c>
      <c r="C39" s="24" t="s">
        <v>138</v>
      </c>
      <c r="D39" s="9"/>
      <c r="E39" s="6"/>
      <c r="F39" s="6">
        <v>176900</v>
      </c>
      <c r="G39" s="19"/>
      <c r="I39" s="52"/>
      <c r="J39" s="52"/>
      <c r="K39" s="52"/>
      <c r="L39" s="52"/>
      <c r="M39" s="9" t="s">
        <v>3</v>
      </c>
      <c r="N39" s="9" t="s">
        <v>3</v>
      </c>
      <c r="O39" s="59"/>
    </row>
    <row r="40" spans="1:15" ht="21" x14ac:dyDescent="0.4">
      <c r="A40" s="10">
        <v>34</v>
      </c>
      <c r="B40" s="31">
        <v>46235</v>
      </c>
      <c r="C40" s="24" t="s">
        <v>97</v>
      </c>
      <c r="D40" s="9"/>
      <c r="E40" s="6"/>
      <c r="F40" s="6">
        <v>15000</v>
      </c>
      <c r="G40" s="19"/>
      <c r="I40" s="10">
        <v>1</v>
      </c>
      <c r="J40" s="30"/>
      <c r="K40" s="24" t="s">
        <v>37</v>
      </c>
      <c r="L40" s="9">
        <v>1</v>
      </c>
      <c r="M40" s="6"/>
      <c r="N40" s="6">
        <f>SUMIF(D7:D219,K40,F7:F219)</f>
        <v>2185600</v>
      </c>
      <c r="O40" s="6"/>
    </row>
    <row r="41" spans="1:15" ht="21" x14ac:dyDescent="0.4">
      <c r="A41" s="10">
        <v>35</v>
      </c>
      <c r="B41" s="31">
        <v>46235</v>
      </c>
      <c r="C41" s="24" t="s">
        <v>148</v>
      </c>
      <c r="D41" s="9"/>
      <c r="E41" s="6"/>
      <c r="F41" s="6">
        <f>61000+179600</f>
        <v>240600</v>
      </c>
      <c r="G41" s="19"/>
      <c r="I41" s="10">
        <f>I40+1</f>
        <v>2</v>
      </c>
      <c r="J41" s="30"/>
      <c r="K41" s="24" t="s">
        <v>108</v>
      </c>
      <c r="L41" s="9">
        <v>1</v>
      </c>
      <c r="M41" s="6"/>
      <c r="N41" s="6">
        <f>SUMIF(D7:D219,K41,F7:F219)</f>
        <v>218000</v>
      </c>
      <c r="O41" s="6"/>
    </row>
    <row r="42" spans="1:15" ht="21" x14ac:dyDescent="0.4">
      <c r="A42" s="10">
        <v>36</v>
      </c>
      <c r="B42" s="31">
        <v>46235</v>
      </c>
      <c r="C42" s="24" t="s">
        <v>151</v>
      </c>
      <c r="D42" s="9" t="s">
        <v>152</v>
      </c>
      <c r="E42" s="6"/>
      <c r="F42" s="6">
        <v>1000000</v>
      </c>
      <c r="G42" s="19"/>
      <c r="I42" s="10">
        <f>I41+1</f>
        <v>3</v>
      </c>
      <c r="J42" s="30"/>
      <c r="K42" s="24" t="s">
        <v>109</v>
      </c>
      <c r="L42" s="9"/>
      <c r="M42" s="6"/>
      <c r="N42" s="6">
        <f>SUMIF(D7:D219,K42,F7:F219)</f>
        <v>473000</v>
      </c>
      <c r="O42" s="6"/>
    </row>
    <row r="43" spans="1:15" ht="21" x14ac:dyDescent="0.4">
      <c r="A43" s="10">
        <v>37</v>
      </c>
      <c r="B43" s="31">
        <v>46236</v>
      </c>
      <c r="C43" s="24" t="s">
        <v>146</v>
      </c>
      <c r="D43" s="9"/>
      <c r="E43" s="6"/>
      <c r="F43" s="6">
        <v>284000</v>
      </c>
      <c r="G43" s="19"/>
      <c r="I43" s="10">
        <f>I42+1</f>
        <v>4</v>
      </c>
      <c r="J43" s="30"/>
      <c r="K43" s="24" t="s">
        <v>111</v>
      </c>
      <c r="L43" s="9"/>
      <c r="M43" s="6"/>
      <c r="N43" s="6">
        <f>SUMIF(D7:D219,K43,F7:F219)</f>
        <v>564000</v>
      </c>
      <c r="O43" s="6"/>
    </row>
    <row r="44" spans="1:15" ht="21" x14ac:dyDescent="0.4">
      <c r="A44" s="10">
        <v>38</v>
      </c>
      <c r="B44" s="31">
        <v>46237</v>
      </c>
      <c r="C44" s="24" t="s">
        <v>145</v>
      </c>
      <c r="D44" s="9" t="s">
        <v>37</v>
      </c>
      <c r="E44" s="6"/>
      <c r="F44" s="6">
        <v>100000</v>
      </c>
      <c r="G44" s="19"/>
      <c r="I44" s="10">
        <f>I43+1</f>
        <v>5</v>
      </c>
      <c r="J44" s="30"/>
      <c r="K44" s="24" t="s">
        <v>128</v>
      </c>
      <c r="L44" s="9"/>
      <c r="M44" s="6"/>
      <c r="N44" s="6">
        <f>SUMIF(D7:D219,K44,F7:F219)</f>
        <v>36000</v>
      </c>
      <c r="O44" s="6"/>
    </row>
    <row r="45" spans="1:15" ht="21" x14ac:dyDescent="0.4">
      <c r="A45" s="10">
        <v>39</v>
      </c>
      <c r="B45" s="31">
        <v>46237</v>
      </c>
      <c r="C45" s="24" t="s">
        <v>147</v>
      </c>
      <c r="D45" s="9" t="s">
        <v>37</v>
      </c>
      <c r="E45" s="6"/>
      <c r="F45" s="6">
        <f>10000+7000+5000</f>
        <v>22000</v>
      </c>
      <c r="G45" s="19"/>
      <c r="I45" s="10">
        <f>I44+1</f>
        <v>6</v>
      </c>
      <c r="J45" s="30"/>
      <c r="K45" s="24" t="s">
        <v>42</v>
      </c>
      <c r="L45" s="9">
        <v>1</v>
      </c>
      <c r="M45" s="6"/>
      <c r="N45" s="6">
        <f>SUMIF(D7:D219,K45,F7:F219)</f>
        <v>200000</v>
      </c>
      <c r="O45" s="6"/>
    </row>
    <row r="46" spans="1:15" ht="21" x14ac:dyDescent="0.4">
      <c r="A46" s="10">
        <v>40</v>
      </c>
      <c r="B46" s="31">
        <v>46237</v>
      </c>
      <c r="C46" s="24" t="s">
        <v>153</v>
      </c>
      <c r="D46" s="9" t="s">
        <v>39</v>
      </c>
      <c r="E46" s="6"/>
      <c r="F46" s="6">
        <v>100000</v>
      </c>
      <c r="G46" s="19"/>
      <c r="I46" s="10">
        <v>7</v>
      </c>
      <c r="J46" s="10"/>
      <c r="K46" s="24" t="s">
        <v>136</v>
      </c>
      <c r="L46" s="9"/>
      <c r="M46" s="6"/>
      <c r="N46" s="6">
        <f>SUMIF(D7:D219,K46,F7:F219)</f>
        <v>475500</v>
      </c>
      <c r="O46" s="19"/>
    </row>
    <row r="47" spans="1:15" ht="21" x14ac:dyDescent="0.4">
      <c r="A47" s="10">
        <v>41</v>
      </c>
      <c r="B47" s="31">
        <v>46237</v>
      </c>
      <c r="C47" s="24" t="s">
        <v>154</v>
      </c>
      <c r="D47" s="9" t="s">
        <v>177</v>
      </c>
      <c r="E47" s="6"/>
      <c r="F47" s="6">
        <f>47000+20000</f>
        <v>67000</v>
      </c>
      <c r="G47" s="19"/>
      <c r="I47" s="10">
        <v>8</v>
      </c>
      <c r="J47" s="10"/>
      <c r="K47" s="24" t="s">
        <v>152</v>
      </c>
      <c r="L47" s="9"/>
      <c r="M47" s="6"/>
      <c r="N47" s="6">
        <f>SUMIF(D7:D219,K47,F7:F219)</f>
        <v>1500000</v>
      </c>
      <c r="O47" s="6"/>
    </row>
    <row r="48" spans="1:15" ht="21" x14ac:dyDescent="0.4">
      <c r="A48" s="10">
        <v>42</v>
      </c>
      <c r="B48" s="31">
        <v>46238</v>
      </c>
      <c r="C48" s="24" t="s">
        <v>95</v>
      </c>
      <c r="D48" s="9"/>
      <c r="E48" s="6">
        <v>2000000</v>
      </c>
      <c r="F48" s="6"/>
      <c r="G48" s="19"/>
      <c r="I48" s="10">
        <v>9</v>
      </c>
      <c r="J48" s="10"/>
      <c r="K48" s="24" t="s">
        <v>39</v>
      </c>
      <c r="L48" s="9">
        <v>1</v>
      </c>
      <c r="M48" s="6"/>
      <c r="N48" s="6">
        <f>SUMIF(D7:D219,K48,F7:F219)</f>
        <v>500000</v>
      </c>
      <c r="O48" s="6"/>
    </row>
    <row r="49" spans="1:15" ht="21" x14ac:dyDescent="0.4">
      <c r="A49" s="10">
        <v>43</v>
      </c>
      <c r="B49" s="31">
        <v>46238</v>
      </c>
      <c r="C49" s="24" t="s">
        <v>149</v>
      </c>
      <c r="D49" s="9"/>
      <c r="E49" s="6"/>
      <c r="F49" s="6">
        <v>70000</v>
      </c>
      <c r="G49" s="19"/>
      <c r="I49" s="10">
        <v>10</v>
      </c>
      <c r="J49" s="30"/>
      <c r="K49" s="24" t="s">
        <v>177</v>
      </c>
      <c r="L49" s="9"/>
      <c r="M49" s="6"/>
      <c r="N49" s="6">
        <f>SUMIF(D7:D219,K49,F7:F219)</f>
        <v>3179500</v>
      </c>
      <c r="O49" s="6"/>
    </row>
    <row r="50" spans="1:15" ht="21" x14ac:dyDescent="0.4">
      <c r="A50" s="10">
        <v>44</v>
      </c>
      <c r="B50" s="31">
        <v>46238</v>
      </c>
      <c r="C50" s="24" t="s">
        <v>150</v>
      </c>
      <c r="D50" s="9" t="s">
        <v>37</v>
      </c>
      <c r="E50" s="6"/>
      <c r="F50" s="6">
        <v>75000</v>
      </c>
      <c r="G50" s="19"/>
      <c r="I50" s="10">
        <v>11</v>
      </c>
      <c r="J50" s="10"/>
      <c r="K50" s="24" t="s">
        <v>166</v>
      </c>
      <c r="L50" s="9"/>
      <c r="M50" s="6"/>
      <c r="N50" s="6">
        <f>SUMIF(D7:D219,K50,F7:F219)</f>
        <v>1060000</v>
      </c>
      <c r="O50" s="6"/>
    </row>
    <row r="51" spans="1:15" ht="21" x14ac:dyDescent="0.4">
      <c r="A51" s="10">
        <v>45</v>
      </c>
      <c r="B51" s="31">
        <v>46238</v>
      </c>
      <c r="C51" s="24" t="s">
        <v>155</v>
      </c>
      <c r="D51" s="9"/>
      <c r="E51" s="6"/>
      <c r="F51" s="6">
        <v>85000</v>
      </c>
      <c r="G51" s="19"/>
      <c r="I51" s="10">
        <v>12</v>
      </c>
      <c r="J51" s="10"/>
      <c r="K51" s="24" t="s">
        <v>191</v>
      </c>
      <c r="L51" s="9"/>
      <c r="M51" s="6"/>
      <c r="N51" s="6">
        <f>SUMIF(D7:D219,K51,F7:F219)</f>
        <v>6000000</v>
      </c>
      <c r="O51" s="6"/>
    </row>
    <row r="52" spans="1:15" ht="21" x14ac:dyDescent="0.4">
      <c r="A52" s="10">
        <v>46</v>
      </c>
      <c r="B52" s="31">
        <v>46238</v>
      </c>
      <c r="C52" s="24" t="s">
        <v>156</v>
      </c>
      <c r="D52" s="9"/>
      <c r="E52" s="6"/>
      <c r="F52" s="6">
        <v>502500</v>
      </c>
      <c r="G52" s="19"/>
      <c r="I52" s="10">
        <v>13</v>
      </c>
      <c r="J52" s="10"/>
      <c r="K52" s="24" t="s">
        <v>206</v>
      </c>
      <c r="L52" s="9"/>
      <c r="M52" s="6"/>
      <c r="N52" s="6">
        <f>SUMIF(D7:D219,K52,F7:F219)</f>
        <v>12000</v>
      </c>
      <c r="O52" s="6"/>
    </row>
    <row r="53" spans="1:15" ht="21" x14ac:dyDescent="0.4">
      <c r="A53" s="10">
        <v>47</v>
      </c>
      <c r="B53" s="31">
        <v>46238</v>
      </c>
      <c r="C53" s="24" t="s">
        <v>169</v>
      </c>
      <c r="D53" s="9"/>
      <c r="E53" s="6"/>
      <c r="F53" s="6">
        <v>10000</v>
      </c>
      <c r="G53" s="19"/>
      <c r="I53" s="10">
        <v>14</v>
      </c>
      <c r="J53" s="10"/>
      <c r="K53" s="24" t="s">
        <v>201</v>
      </c>
      <c r="L53" s="9"/>
      <c r="M53" s="6"/>
      <c r="N53" s="6">
        <f>SUMIF(D7:D219,K53,F7:F219)</f>
        <v>7000000</v>
      </c>
      <c r="O53" s="19"/>
    </row>
    <row r="54" spans="1:15" ht="21" x14ac:dyDescent="0.4">
      <c r="A54" s="10">
        <v>48</v>
      </c>
      <c r="B54" s="31">
        <v>46239</v>
      </c>
      <c r="C54" s="24" t="s">
        <v>168</v>
      </c>
      <c r="D54" s="9"/>
      <c r="E54" s="6"/>
      <c r="F54" s="6">
        <f>54000+7700</f>
        <v>61700</v>
      </c>
      <c r="G54" s="19"/>
      <c r="I54" s="10">
        <v>15</v>
      </c>
      <c r="J54" s="10"/>
      <c r="K54" s="24" t="s">
        <v>163</v>
      </c>
      <c r="L54" s="9">
        <v>1</v>
      </c>
      <c r="M54" s="6"/>
      <c r="N54" s="6">
        <f>SUMIF(D7:D219,K54,F7:F219)</f>
        <v>415100</v>
      </c>
      <c r="O54" s="19"/>
    </row>
    <row r="55" spans="1:15" ht="21" x14ac:dyDescent="0.4">
      <c r="A55" s="10">
        <v>49</v>
      </c>
      <c r="B55" s="31">
        <v>46272</v>
      </c>
      <c r="C55" s="24" t="s">
        <v>333</v>
      </c>
      <c r="D55" s="9" t="s">
        <v>304</v>
      </c>
      <c r="E55" s="6"/>
      <c r="F55" s="6">
        <v>80000</v>
      </c>
      <c r="G55" s="19"/>
      <c r="I55" s="10">
        <v>16</v>
      </c>
      <c r="J55" s="10"/>
      <c r="K55" s="24" t="s">
        <v>264</v>
      </c>
      <c r="L55" s="9">
        <v>1</v>
      </c>
      <c r="M55" s="6"/>
      <c r="N55" s="6">
        <f>SUMIF(D7:D219,K55,F7:F219)</f>
        <v>700000</v>
      </c>
      <c r="O55" s="19"/>
    </row>
    <row r="56" spans="1:15" ht="21" x14ac:dyDescent="0.4">
      <c r="A56" s="10">
        <v>50</v>
      </c>
      <c r="B56" s="31">
        <v>46272</v>
      </c>
      <c r="C56" s="24" t="s">
        <v>334</v>
      </c>
      <c r="D56" s="9" t="s">
        <v>304</v>
      </c>
      <c r="E56" s="6"/>
      <c r="F56" s="6">
        <v>47000</v>
      </c>
      <c r="G56" s="19"/>
      <c r="I56" s="10">
        <v>17</v>
      </c>
      <c r="J56" s="10"/>
      <c r="K56" s="24" t="s">
        <v>245</v>
      </c>
      <c r="L56" s="9">
        <v>1</v>
      </c>
      <c r="M56" s="6"/>
      <c r="N56" s="6">
        <f>SUMIF(D7:D219,K56,F7:F219)</f>
        <v>9500</v>
      </c>
      <c r="O56" s="19"/>
    </row>
    <row r="57" spans="1:15" ht="21" x14ac:dyDescent="0.4">
      <c r="A57" s="10">
        <v>51</v>
      </c>
      <c r="B57" s="31">
        <v>46241</v>
      </c>
      <c r="C57" s="24" t="s">
        <v>170</v>
      </c>
      <c r="D57" s="9"/>
      <c r="E57" s="6"/>
      <c r="F57" s="6">
        <v>49000</v>
      </c>
      <c r="G57" s="19"/>
      <c r="I57" s="10">
        <v>18</v>
      </c>
      <c r="J57" s="10"/>
      <c r="K57" s="24" t="s">
        <v>263</v>
      </c>
      <c r="L57" s="9"/>
      <c r="M57" s="6"/>
      <c r="N57" s="6">
        <f>SUMIF(D7:D219,K57,F7:F219)</f>
        <v>204000</v>
      </c>
      <c r="O57" s="19"/>
    </row>
    <row r="58" spans="1:15" ht="21" x14ac:dyDescent="0.4">
      <c r="A58" s="10">
        <v>52</v>
      </c>
      <c r="B58" s="31">
        <v>46241</v>
      </c>
      <c r="C58" s="24" t="s">
        <v>171</v>
      </c>
      <c r="D58" s="9" t="s">
        <v>37</v>
      </c>
      <c r="E58" s="6"/>
      <c r="F58" s="6">
        <v>25000</v>
      </c>
      <c r="G58" s="19"/>
      <c r="I58" s="10">
        <v>19</v>
      </c>
      <c r="J58" s="10"/>
      <c r="K58" s="24" t="s">
        <v>304</v>
      </c>
      <c r="L58" s="9">
        <v>1</v>
      </c>
      <c r="M58" s="6"/>
      <c r="N58" s="6">
        <f>SUMIF(D7:D219,K58,F7:F219)</f>
        <v>279000</v>
      </c>
      <c r="O58" s="19"/>
    </row>
    <row r="59" spans="1:15" ht="21" x14ac:dyDescent="0.4">
      <c r="A59" s="10">
        <v>53</v>
      </c>
      <c r="B59" s="31">
        <v>46241</v>
      </c>
      <c r="C59" s="24" t="s">
        <v>172</v>
      </c>
      <c r="D59" s="9" t="s">
        <v>111</v>
      </c>
      <c r="E59" s="6"/>
      <c r="F59" s="6">
        <v>100000</v>
      </c>
      <c r="G59" s="19"/>
      <c r="I59" s="10">
        <v>20</v>
      </c>
      <c r="J59" s="10"/>
      <c r="K59" s="24" t="s">
        <v>306</v>
      </c>
      <c r="L59" s="9">
        <v>1</v>
      </c>
      <c r="M59" s="6"/>
      <c r="N59" s="6">
        <f>SUMIF(D7:D219,K59,F7:F219)</f>
        <v>119000</v>
      </c>
      <c r="O59" s="19"/>
    </row>
    <row r="60" spans="1:15" ht="21" x14ac:dyDescent="0.4">
      <c r="A60" s="10">
        <v>54</v>
      </c>
      <c r="B60" s="31">
        <v>46241</v>
      </c>
      <c r="C60" s="24" t="s">
        <v>167</v>
      </c>
      <c r="D60" s="9"/>
      <c r="E60" s="6"/>
      <c r="F60" s="6">
        <v>15000</v>
      </c>
      <c r="G60" s="19"/>
      <c r="I60" s="10">
        <v>21</v>
      </c>
      <c r="J60" s="10"/>
      <c r="K60" s="24" t="s">
        <v>305</v>
      </c>
      <c r="L60" s="9">
        <v>1</v>
      </c>
      <c r="M60" s="6"/>
      <c r="N60" s="6">
        <f>SUMIF(D7:D219,K60,F7:F219)</f>
        <v>46000</v>
      </c>
      <c r="O60" s="19"/>
    </row>
    <row r="61" spans="1:15" ht="21" x14ac:dyDescent="0.4">
      <c r="A61" s="10">
        <v>55</v>
      </c>
      <c r="B61" s="31">
        <v>46241</v>
      </c>
      <c r="C61" s="24" t="s">
        <v>165</v>
      </c>
      <c r="D61" s="9"/>
      <c r="E61" s="6">
        <v>1000000</v>
      </c>
      <c r="F61" s="6"/>
      <c r="G61" s="19"/>
      <c r="I61" s="10">
        <v>22</v>
      </c>
      <c r="J61" s="10"/>
      <c r="K61" s="24" t="s">
        <v>309</v>
      </c>
      <c r="L61" s="9">
        <v>1</v>
      </c>
      <c r="M61" s="6"/>
      <c r="N61" s="6">
        <f>SUMIF(D7:D219,K61,F7:F219)</f>
        <v>50000</v>
      </c>
      <c r="O61" s="19"/>
    </row>
    <row r="62" spans="1:15" ht="21" x14ac:dyDescent="0.4">
      <c r="A62" s="10">
        <v>56</v>
      </c>
      <c r="B62" s="31">
        <v>46241</v>
      </c>
      <c r="C62" s="24" t="s">
        <v>165</v>
      </c>
      <c r="D62" s="9" t="s">
        <v>166</v>
      </c>
      <c r="E62" s="6"/>
      <c r="F62" s="6">
        <v>1000000</v>
      </c>
      <c r="G62" s="19"/>
      <c r="I62" s="10">
        <v>23</v>
      </c>
      <c r="J62" s="10"/>
      <c r="K62" s="24" t="s">
        <v>313</v>
      </c>
      <c r="L62" s="9"/>
      <c r="M62" s="6"/>
      <c r="N62" s="6">
        <f>SUMIF(D7:D219,K62,F7:F219)</f>
        <v>381000</v>
      </c>
      <c r="O62" s="19"/>
    </row>
    <row r="63" spans="1:15" ht="21" x14ac:dyDescent="0.4">
      <c r="A63" s="10">
        <v>57</v>
      </c>
      <c r="B63" s="31">
        <v>46241</v>
      </c>
      <c r="C63" s="24" t="s">
        <v>190</v>
      </c>
      <c r="D63" s="9"/>
      <c r="E63" s="6">
        <v>4000000</v>
      </c>
      <c r="F63" s="6"/>
      <c r="G63" s="19"/>
      <c r="I63" s="10">
        <v>24</v>
      </c>
      <c r="J63" s="10"/>
      <c r="K63" s="24" t="s">
        <v>332</v>
      </c>
      <c r="L63" s="9">
        <v>1</v>
      </c>
      <c r="M63" s="6"/>
      <c r="N63" s="6">
        <f>SUMIF(D7:D219,K63,F7:F219)</f>
        <v>243900</v>
      </c>
      <c r="O63" s="19"/>
    </row>
    <row r="64" spans="1:15" ht="21" x14ac:dyDescent="0.4">
      <c r="A64" s="10">
        <v>58</v>
      </c>
      <c r="B64" s="31">
        <v>46241</v>
      </c>
      <c r="C64" s="24" t="s">
        <v>190</v>
      </c>
      <c r="D64" s="9" t="s">
        <v>191</v>
      </c>
      <c r="E64" s="6"/>
      <c r="F64" s="6">
        <v>4000000</v>
      </c>
      <c r="G64" s="19"/>
      <c r="I64" s="10">
        <v>25</v>
      </c>
      <c r="J64" s="10"/>
      <c r="K64" s="24" t="s">
        <v>361</v>
      </c>
      <c r="L64" s="9">
        <v>1</v>
      </c>
      <c r="M64" s="6"/>
      <c r="N64" s="6">
        <f>SUMIF(D7:D219,K64,F7:F219)</f>
        <v>208000</v>
      </c>
      <c r="O64" s="19"/>
    </row>
    <row r="65" spans="1:15" ht="21" x14ac:dyDescent="0.4">
      <c r="A65" s="10">
        <v>59</v>
      </c>
      <c r="B65" s="31">
        <v>46242</v>
      </c>
      <c r="C65" s="24" t="s">
        <v>185</v>
      </c>
      <c r="D65" s="9"/>
      <c r="E65" s="6">
        <f>3500000-2000000</f>
        <v>1500000</v>
      </c>
      <c r="F65" s="6"/>
      <c r="G65" s="19"/>
      <c r="I65" s="10">
        <v>26</v>
      </c>
      <c r="J65" s="10"/>
      <c r="K65" s="24" t="s">
        <v>365</v>
      </c>
      <c r="L65" s="9">
        <v>1</v>
      </c>
      <c r="M65" s="6"/>
      <c r="N65" s="6">
        <f>SUMIF(D7:D219,K65,F7:F219)</f>
        <v>333000</v>
      </c>
      <c r="O65" s="19"/>
    </row>
    <row r="66" spans="1:15" ht="21" x14ac:dyDescent="0.4">
      <c r="A66" s="10">
        <v>60</v>
      </c>
      <c r="B66" s="31">
        <v>46242</v>
      </c>
      <c r="C66" s="24" t="s">
        <v>173</v>
      </c>
      <c r="D66" s="9"/>
      <c r="E66" s="6"/>
      <c r="F66" s="6">
        <v>50000</v>
      </c>
      <c r="G66" s="19"/>
      <c r="I66" s="10">
        <v>27</v>
      </c>
      <c r="J66" s="10"/>
      <c r="K66" s="24" t="s">
        <v>409</v>
      </c>
      <c r="L66" s="9"/>
      <c r="M66" s="6"/>
      <c r="N66" s="6">
        <f>SUMIF(D7:D219,K66,F7:F219)</f>
        <v>125000</v>
      </c>
      <c r="O66" s="19"/>
    </row>
    <row r="67" spans="1:15" ht="21" x14ac:dyDescent="0.4">
      <c r="A67" s="10">
        <v>61</v>
      </c>
      <c r="B67" s="31">
        <v>46243</v>
      </c>
      <c r="C67" s="24" t="s">
        <v>175</v>
      </c>
      <c r="D67" s="9" t="s">
        <v>108</v>
      </c>
      <c r="E67" s="6"/>
      <c r="F67" s="6">
        <v>100000</v>
      </c>
      <c r="G67" s="19"/>
      <c r="I67" s="10">
        <v>28</v>
      </c>
      <c r="J67" s="10"/>
      <c r="K67" s="24" t="s">
        <v>401</v>
      </c>
      <c r="L67" s="9">
        <v>1</v>
      </c>
      <c r="M67" s="6"/>
      <c r="N67" s="6">
        <f>SUMIF(D7:D219,K67,F7:F219)</f>
        <v>252300</v>
      </c>
      <c r="O67" s="19"/>
    </row>
    <row r="68" spans="1:15" ht="21" x14ac:dyDescent="0.4">
      <c r="A68" s="10">
        <v>62</v>
      </c>
      <c r="B68" s="31">
        <v>46243</v>
      </c>
      <c r="C68" s="24" t="s">
        <v>180</v>
      </c>
      <c r="D68" s="9"/>
      <c r="E68" s="6"/>
      <c r="F68" s="6">
        <v>45000</v>
      </c>
      <c r="G68" s="19"/>
      <c r="I68" s="10">
        <v>29</v>
      </c>
      <c r="J68" s="10"/>
      <c r="K68" s="24" t="s">
        <v>403</v>
      </c>
      <c r="L68" s="9">
        <v>1</v>
      </c>
      <c r="M68" s="6"/>
      <c r="N68" s="6">
        <f>SUMIF(D7:D219,K68,F7:F219)</f>
        <v>113500</v>
      </c>
      <c r="O68" s="19"/>
    </row>
    <row r="69" spans="1:15" ht="21" x14ac:dyDescent="0.4">
      <c r="A69" s="10">
        <v>63</v>
      </c>
      <c r="B69" s="31">
        <v>46244</v>
      </c>
      <c r="C69" s="24" t="s">
        <v>179</v>
      </c>
      <c r="D69" s="9" t="s">
        <v>166</v>
      </c>
      <c r="E69" s="6"/>
      <c r="F69" s="6">
        <v>60000</v>
      </c>
      <c r="G69" s="19"/>
      <c r="I69" s="10">
        <v>30</v>
      </c>
      <c r="J69" s="10"/>
      <c r="K69" s="24" t="s">
        <v>425</v>
      </c>
      <c r="L69" s="9">
        <v>1</v>
      </c>
      <c r="M69" s="6"/>
      <c r="N69" s="6">
        <f>SUMIF(D7:D219,K69,F7:F219)</f>
        <v>140000</v>
      </c>
      <c r="O69" s="19"/>
    </row>
    <row r="70" spans="1:15" ht="21" x14ac:dyDescent="0.4">
      <c r="A70" s="10">
        <v>64</v>
      </c>
      <c r="B70" s="31">
        <v>46245</v>
      </c>
      <c r="C70" s="24" t="s">
        <v>176</v>
      </c>
      <c r="D70" s="9" t="s">
        <v>177</v>
      </c>
      <c r="E70" s="6"/>
      <c r="F70" s="6">
        <v>55000</v>
      </c>
      <c r="G70" s="19"/>
      <c r="I70" s="10"/>
      <c r="J70" s="10"/>
      <c r="K70" s="24"/>
      <c r="L70" s="9"/>
      <c r="M70" s="6"/>
      <c r="N70" s="6"/>
      <c r="O70" s="19"/>
    </row>
    <row r="71" spans="1:15" ht="21" x14ac:dyDescent="0.4">
      <c r="A71" s="10">
        <v>65</v>
      </c>
      <c r="B71" s="31">
        <v>46245</v>
      </c>
      <c r="C71" s="24" t="s">
        <v>178</v>
      </c>
      <c r="D71" s="9" t="s">
        <v>177</v>
      </c>
      <c r="E71" s="6"/>
      <c r="F71" s="6">
        <v>100000</v>
      </c>
      <c r="G71" s="19"/>
      <c r="I71" s="10"/>
      <c r="J71" s="10"/>
      <c r="K71" s="24"/>
      <c r="L71" s="9"/>
      <c r="M71" s="6"/>
      <c r="N71" s="6"/>
      <c r="O71" s="19"/>
    </row>
    <row r="72" spans="1:15" ht="21" x14ac:dyDescent="0.4">
      <c r="A72" s="10">
        <v>66</v>
      </c>
      <c r="B72" s="31">
        <v>46245</v>
      </c>
      <c r="C72" s="24" t="s">
        <v>186</v>
      </c>
      <c r="D72" s="9" t="s">
        <v>177</v>
      </c>
      <c r="E72" s="6"/>
      <c r="F72" s="6">
        <f>12500+4000+12500+6000</f>
        <v>35000</v>
      </c>
      <c r="G72" s="19"/>
      <c r="I72" s="12"/>
      <c r="J72" s="12"/>
      <c r="K72" s="13"/>
      <c r="L72" s="13"/>
      <c r="M72" s="6"/>
      <c r="N72" s="12"/>
      <c r="O72" s="19"/>
    </row>
    <row r="73" spans="1:15" ht="21" x14ac:dyDescent="0.4">
      <c r="A73" s="10">
        <v>67</v>
      </c>
      <c r="B73" s="31">
        <v>46245</v>
      </c>
      <c r="C73" s="24" t="s">
        <v>155</v>
      </c>
      <c r="D73" s="9"/>
      <c r="E73" s="6"/>
      <c r="F73" s="6">
        <v>80000</v>
      </c>
      <c r="G73" s="19"/>
      <c r="I73" s="54" t="s">
        <v>1</v>
      </c>
      <c r="J73" s="54"/>
      <c r="K73" s="54"/>
      <c r="L73" s="28"/>
      <c r="M73" s="15">
        <f>SUM(M40:M72)</f>
        <v>0</v>
      </c>
      <c r="N73" s="15">
        <f>SUM(N40:N72)</f>
        <v>27022900</v>
      </c>
      <c r="O73" s="22"/>
    </row>
    <row r="74" spans="1:15" ht="21" x14ac:dyDescent="0.4">
      <c r="A74" s="10">
        <v>68</v>
      </c>
      <c r="B74" s="31">
        <v>46245</v>
      </c>
      <c r="C74" s="24" t="s">
        <v>192</v>
      </c>
      <c r="D74" s="9"/>
      <c r="E74" s="6">
        <v>2000000</v>
      </c>
      <c r="F74" s="6"/>
      <c r="G74" s="19"/>
      <c r="I74" s="10"/>
      <c r="J74" s="64" t="s">
        <v>270</v>
      </c>
      <c r="K74" s="65"/>
      <c r="L74" s="9">
        <v>1</v>
      </c>
      <c r="M74" s="6"/>
      <c r="N74" s="6">
        <f>SUMIF(L40:L72,L74,N40:N72)</f>
        <v>6012900</v>
      </c>
      <c r="O74" s="19"/>
    </row>
    <row r="75" spans="1:15" ht="21" x14ac:dyDescent="0.4">
      <c r="A75" s="10">
        <v>69</v>
      </c>
      <c r="B75" s="31">
        <v>46245</v>
      </c>
      <c r="C75" s="24" t="s">
        <v>192</v>
      </c>
      <c r="D75" s="9" t="s">
        <v>191</v>
      </c>
      <c r="E75" s="6"/>
      <c r="F75" s="6">
        <v>2000000</v>
      </c>
      <c r="G75" s="19"/>
      <c r="I75" s="10"/>
      <c r="J75" s="64" t="s">
        <v>271</v>
      </c>
      <c r="K75" s="65"/>
      <c r="L75" s="9"/>
      <c r="M75" s="6"/>
      <c r="N75" s="6">
        <f>N73-N74</f>
        <v>21010000</v>
      </c>
      <c r="O75" s="19"/>
    </row>
    <row r="76" spans="1:15" ht="21" x14ac:dyDescent="0.4">
      <c r="A76" s="10">
        <v>70</v>
      </c>
      <c r="B76" s="31">
        <v>46246</v>
      </c>
      <c r="C76" s="24" t="s">
        <v>204</v>
      </c>
      <c r="D76" s="9" t="s">
        <v>37</v>
      </c>
      <c r="E76" s="6"/>
      <c r="F76" s="6">
        <v>67000</v>
      </c>
      <c r="G76" s="19"/>
    </row>
    <row r="77" spans="1:15" ht="21" x14ac:dyDescent="0.4">
      <c r="A77" s="10">
        <v>71</v>
      </c>
      <c r="B77" s="31">
        <v>46246</v>
      </c>
      <c r="C77" s="24" t="s">
        <v>205</v>
      </c>
      <c r="D77" s="9" t="s">
        <v>206</v>
      </c>
      <c r="E77" s="6"/>
      <c r="F77" s="6">
        <v>12000</v>
      </c>
      <c r="G77" s="19"/>
    </row>
    <row r="78" spans="1:15" ht="21" x14ac:dyDescent="0.4">
      <c r="A78" s="10">
        <v>72</v>
      </c>
      <c r="B78" s="31">
        <v>46246</v>
      </c>
      <c r="C78" s="24" t="s">
        <v>97</v>
      </c>
      <c r="D78" s="9"/>
      <c r="E78" s="6"/>
      <c r="F78" s="6">
        <v>26500</v>
      </c>
      <c r="G78" s="19"/>
      <c r="K78" s="33"/>
    </row>
    <row r="79" spans="1:15" ht="21" x14ac:dyDescent="0.4">
      <c r="A79" s="10">
        <v>73</v>
      </c>
      <c r="B79" s="31">
        <v>46247</v>
      </c>
      <c r="C79" s="24" t="s">
        <v>200</v>
      </c>
      <c r="D79" s="9"/>
      <c r="E79" s="6">
        <v>2000000</v>
      </c>
      <c r="F79" s="6"/>
      <c r="G79" s="19"/>
      <c r="K79" s="33"/>
    </row>
    <row r="80" spans="1:15" ht="21" x14ac:dyDescent="0.4">
      <c r="A80" s="10">
        <v>74</v>
      </c>
      <c r="B80" s="31">
        <v>46247</v>
      </c>
      <c r="C80" s="24" t="s">
        <v>200</v>
      </c>
      <c r="D80" s="9" t="s">
        <v>201</v>
      </c>
      <c r="E80" s="6"/>
      <c r="F80" s="6">
        <v>2000000</v>
      </c>
      <c r="G80" s="19"/>
      <c r="K80" s="33"/>
    </row>
    <row r="81" spans="1:13" ht="21" x14ac:dyDescent="0.4">
      <c r="A81" s="10">
        <v>75</v>
      </c>
      <c r="B81" s="31">
        <v>46247</v>
      </c>
      <c r="C81" s="24" t="s">
        <v>202</v>
      </c>
      <c r="D81" s="9" t="s">
        <v>163</v>
      </c>
      <c r="E81" s="6"/>
      <c r="F81" s="6">
        <v>100000</v>
      </c>
      <c r="G81" s="19"/>
      <c r="K81" s="33"/>
      <c r="M81" s="33"/>
    </row>
    <row r="82" spans="1:13" ht="21" x14ac:dyDescent="0.4">
      <c r="A82" s="10">
        <v>76</v>
      </c>
      <c r="B82" s="31">
        <v>46247</v>
      </c>
      <c r="C82" s="24" t="s">
        <v>203</v>
      </c>
      <c r="D82" s="9" t="s">
        <v>163</v>
      </c>
      <c r="E82" s="6"/>
      <c r="F82" s="6">
        <v>3600</v>
      </c>
      <c r="G82" s="19"/>
    </row>
    <row r="83" spans="1:13" ht="21" x14ac:dyDescent="0.4">
      <c r="A83" s="10">
        <v>77</v>
      </c>
      <c r="B83" s="31">
        <v>46248</v>
      </c>
      <c r="C83" s="24" t="s">
        <v>207</v>
      </c>
      <c r="D83" s="9"/>
      <c r="E83" s="6"/>
      <c r="F83" s="6">
        <v>90000</v>
      </c>
      <c r="G83" s="19"/>
      <c r="K83" s="33"/>
    </row>
    <row r="84" spans="1:13" ht="21" x14ac:dyDescent="0.4">
      <c r="A84" s="10">
        <v>78</v>
      </c>
      <c r="B84" s="31">
        <v>46249</v>
      </c>
      <c r="C84" s="24" t="s">
        <v>186</v>
      </c>
      <c r="D84" s="9" t="s">
        <v>177</v>
      </c>
      <c r="E84" s="6"/>
      <c r="F84" s="6">
        <v>50000</v>
      </c>
      <c r="G84" s="19"/>
      <c r="K84" s="33"/>
    </row>
    <row r="85" spans="1:13" ht="21" x14ac:dyDescent="0.4">
      <c r="A85" s="10">
        <v>79</v>
      </c>
      <c r="B85" s="31">
        <v>46249</v>
      </c>
      <c r="C85" s="24" t="s">
        <v>208</v>
      </c>
      <c r="D85" s="9"/>
      <c r="E85" s="6"/>
      <c r="F85" s="6">
        <v>122100</v>
      </c>
      <c r="G85" s="19"/>
    </row>
    <row r="86" spans="1:13" ht="21" x14ac:dyDescent="0.4">
      <c r="A86" s="10">
        <v>80</v>
      </c>
      <c r="B86" s="31">
        <v>46252</v>
      </c>
      <c r="C86" s="24" t="s">
        <v>209</v>
      </c>
      <c r="D86" s="9"/>
      <c r="E86" s="6"/>
      <c r="F86" s="6">
        <v>369300</v>
      </c>
      <c r="G86" s="19"/>
      <c r="K86" s="33"/>
    </row>
    <row r="87" spans="1:13" ht="21" x14ac:dyDescent="0.4">
      <c r="A87" s="10">
        <v>81</v>
      </c>
      <c r="B87" s="31">
        <v>46252</v>
      </c>
      <c r="C87" s="24" t="s">
        <v>212</v>
      </c>
      <c r="D87" s="9"/>
      <c r="E87" s="6"/>
      <c r="F87" s="6">
        <v>65000</v>
      </c>
      <c r="G87" s="19"/>
    </row>
    <row r="88" spans="1:13" ht="21" x14ac:dyDescent="0.4">
      <c r="A88" s="10">
        <v>82</v>
      </c>
      <c r="B88" s="31">
        <v>46253</v>
      </c>
      <c r="C88" s="24" t="s">
        <v>121</v>
      </c>
      <c r="D88" s="9" t="s">
        <v>37</v>
      </c>
      <c r="E88" s="6"/>
      <c r="F88" s="6">
        <v>50000</v>
      </c>
      <c r="G88" s="19"/>
    </row>
    <row r="89" spans="1:13" ht="21" x14ac:dyDescent="0.4">
      <c r="A89" s="10">
        <v>83</v>
      </c>
      <c r="B89" s="31">
        <v>46253</v>
      </c>
      <c r="C89" s="24" t="s">
        <v>213</v>
      </c>
      <c r="D89" s="9" t="s">
        <v>37</v>
      </c>
      <c r="E89" s="6"/>
      <c r="F89" s="6">
        <v>58000</v>
      </c>
      <c r="G89" s="19"/>
    </row>
    <row r="90" spans="1:13" ht="21" x14ac:dyDescent="0.4">
      <c r="A90" s="10">
        <v>84</v>
      </c>
      <c r="B90" s="31">
        <v>46255</v>
      </c>
      <c r="C90" s="24" t="s">
        <v>95</v>
      </c>
      <c r="D90" s="9"/>
      <c r="E90" s="6">
        <v>1500000</v>
      </c>
      <c r="F90" s="6"/>
      <c r="G90" s="19"/>
    </row>
    <row r="91" spans="1:13" ht="21" x14ac:dyDescent="0.4">
      <c r="A91" s="10">
        <v>85</v>
      </c>
      <c r="B91" s="31">
        <v>46255</v>
      </c>
      <c r="C91" s="24" t="s">
        <v>234</v>
      </c>
      <c r="D91" s="9"/>
      <c r="E91" s="6"/>
      <c r="F91" s="6">
        <v>200000</v>
      </c>
      <c r="G91" s="19"/>
    </row>
    <row r="92" spans="1:13" ht="21" x14ac:dyDescent="0.4">
      <c r="A92" s="10">
        <v>86</v>
      </c>
      <c r="B92" s="31">
        <v>46255</v>
      </c>
      <c r="C92" s="24" t="s">
        <v>267</v>
      </c>
      <c r="D92" s="9" t="s">
        <v>111</v>
      </c>
      <c r="E92" s="6"/>
      <c r="F92" s="6">
        <v>72000</v>
      </c>
      <c r="G92" s="19"/>
    </row>
    <row r="93" spans="1:13" ht="21" x14ac:dyDescent="0.4">
      <c r="A93" s="10">
        <v>87</v>
      </c>
      <c r="B93" s="31">
        <v>46256</v>
      </c>
      <c r="C93" s="24" t="s">
        <v>237</v>
      </c>
      <c r="D93" s="9"/>
      <c r="E93" s="6"/>
      <c r="F93" s="6">
        <v>31278</v>
      </c>
      <c r="G93" s="19"/>
    </row>
    <row r="94" spans="1:13" ht="21" x14ac:dyDescent="0.4">
      <c r="A94" s="10">
        <v>88</v>
      </c>
      <c r="B94" s="31">
        <v>46256</v>
      </c>
      <c r="C94" s="24" t="s">
        <v>239</v>
      </c>
      <c r="D94" s="9" t="s">
        <v>111</v>
      </c>
      <c r="E94" s="6"/>
      <c r="F94" s="6">
        <v>142000</v>
      </c>
      <c r="G94" s="19"/>
    </row>
    <row r="95" spans="1:13" ht="21" x14ac:dyDescent="0.4">
      <c r="A95" s="10">
        <v>89</v>
      </c>
      <c r="B95" s="31">
        <v>46257</v>
      </c>
      <c r="C95" s="24" t="s">
        <v>315</v>
      </c>
      <c r="D95" s="9" t="s">
        <v>304</v>
      </c>
      <c r="E95" s="6"/>
      <c r="F95" s="6">
        <v>50000</v>
      </c>
      <c r="G95" s="19"/>
    </row>
    <row r="96" spans="1:13" ht="21" x14ac:dyDescent="0.4">
      <c r="A96" s="10">
        <v>90</v>
      </c>
      <c r="B96" s="31">
        <v>46257</v>
      </c>
      <c r="C96" s="24" t="s">
        <v>266</v>
      </c>
      <c r="D96" s="9" t="s">
        <v>304</v>
      </c>
      <c r="E96" s="6"/>
      <c r="F96" s="6">
        <v>50000</v>
      </c>
      <c r="G96" s="19"/>
    </row>
    <row r="97" spans="1:7" ht="21" x14ac:dyDescent="0.4">
      <c r="A97" s="10">
        <v>91</v>
      </c>
      <c r="B97" s="31">
        <v>46257</v>
      </c>
      <c r="C97" s="24" t="s">
        <v>240</v>
      </c>
      <c r="D97" s="9" t="s">
        <v>264</v>
      </c>
      <c r="E97" s="6"/>
      <c r="F97" s="6">
        <v>350000</v>
      </c>
      <c r="G97" s="19"/>
    </row>
    <row r="98" spans="1:7" ht="21" x14ac:dyDescent="0.4">
      <c r="A98" s="10">
        <v>92</v>
      </c>
      <c r="B98" s="31">
        <v>46258</v>
      </c>
      <c r="C98" s="24" t="s">
        <v>241</v>
      </c>
      <c r="D98" s="9" t="s">
        <v>163</v>
      </c>
      <c r="E98" s="6"/>
      <c r="F98" s="6">
        <v>100000</v>
      </c>
      <c r="G98" s="19"/>
    </row>
    <row r="99" spans="1:7" ht="21" x14ac:dyDescent="0.4">
      <c r="A99" s="10">
        <v>93</v>
      </c>
      <c r="B99" s="31">
        <v>46258</v>
      </c>
      <c r="C99" s="24" t="s">
        <v>242</v>
      </c>
      <c r="D99" s="9" t="s">
        <v>37</v>
      </c>
      <c r="E99" s="6"/>
      <c r="F99" s="6">
        <v>73000</v>
      </c>
      <c r="G99" s="19"/>
    </row>
    <row r="100" spans="1:7" ht="21" x14ac:dyDescent="0.4">
      <c r="A100" s="10">
        <v>94</v>
      </c>
      <c r="B100" s="31">
        <v>46258</v>
      </c>
      <c r="C100" s="24" t="s">
        <v>243</v>
      </c>
      <c r="D100" s="9"/>
      <c r="E100" s="6"/>
      <c r="F100" s="6">
        <v>100000</v>
      </c>
      <c r="G100" s="19"/>
    </row>
    <row r="101" spans="1:7" ht="21" x14ac:dyDescent="0.4">
      <c r="A101" s="10">
        <v>95</v>
      </c>
      <c r="B101" s="31">
        <v>46258</v>
      </c>
      <c r="C101" s="24" t="s">
        <v>244</v>
      </c>
      <c r="D101" s="9" t="s">
        <v>245</v>
      </c>
      <c r="E101" s="6"/>
      <c r="F101" s="6">
        <v>9500</v>
      </c>
      <c r="G101" s="19"/>
    </row>
    <row r="102" spans="1:7" ht="21" x14ac:dyDescent="0.4">
      <c r="A102" s="10">
        <v>96</v>
      </c>
      <c r="B102" s="31">
        <v>46259</v>
      </c>
      <c r="C102" s="24" t="s">
        <v>246</v>
      </c>
      <c r="D102" s="9" t="s">
        <v>109</v>
      </c>
      <c r="E102" s="6"/>
      <c r="F102" s="6">
        <v>15000</v>
      </c>
      <c r="G102" s="19"/>
    </row>
    <row r="103" spans="1:7" ht="21" x14ac:dyDescent="0.4">
      <c r="A103" s="10">
        <v>97</v>
      </c>
      <c r="B103" s="31">
        <v>46260</v>
      </c>
      <c r="C103" s="24" t="s">
        <v>203</v>
      </c>
      <c r="D103" s="9" t="s">
        <v>163</v>
      </c>
      <c r="E103" s="6"/>
      <c r="F103" s="6">
        <v>13500</v>
      </c>
      <c r="G103" s="19"/>
    </row>
    <row r="104" spans="1:7" ht="21" x14ac:dyDescent="0.4">
      <c r="A104" s="10">
        <v>98</v>
      </c>
      <c r="B104" s="31">
        <v>46261</v>
      </c>
      <c r="C104" s="24" t="s">
        <v>254</v>
      </c>
      <c r="D104" s="9" t="s">
        <v>109</v>
      </c>
      <c r="E104" s="6"/>
      <c r="F104" s="6">
        <v>100000</v>
      </c>
      <c r="G104" s="19"/>
    </row>
    <row r="105" spans="1:7" ht="21" x14ac:dyDescent="0.4">
      <c r="A105" s="10">
        <v>99</v>
      </c>
      <c r="B105" s="31">
        <v>46261</v>
      </c>
      <c r="C105" s="24" t="s">
        <v>255</v>
      </c>
      <c r="D105" s="9" t="s">
        <v>37</v>
      </c>
      <c r="E105" s="6"/>
      <c r="F105" s="6">
        <v>50000</v>
      </c>
      <c r="G105" s="19"/>
    </row>
    <row r="106" spans="1:7" ht="21" x14ac:dyDescent="0.4">
      <c r="A106" s="10">
        <v>100</v>
      </c>
      <c r="B106" s="31">
        <v>46261</v>
      </c>
      <c r="C106" s="24" t="s">
        <v>213</v>
      </c>
      <c r="D106" s="9" t="s">
        <v>37</v>
      </c>
      <c r="E106" s="6"/>
      <c r="F106" s="6">
        <v>45000</v>
      </c>
      <c r="G106" s="19"/>
    </row>
    <row r="107" spans="1:7" ht="21" x14ac:dyDescent="0.4">
      <c r="A107" s="10">
        <v>101</v>
      </c>
      <c r="B107" s="31">
        <v>46261</v>
      </c>
      <c r="C107" s="24" t="s">
        <v>256</v>
      </c>
      <c r="D107" s="9" t="s">
        <v>111</v>
      </c>
      <c r="E107" s="6"/>
      <c r="F107" s="6">
        <v>100000</v>
      </c>
      <c r="G107" s="19"/>
    </row>
    <row r="108" spans="1:7" ht="21" x14ac:dyDescent="0.4">
      <c r="A108" s="10">
        <v>102</v>
      </c>
      <c r="B108" s="31">
        <v>46261</v>
      </c>
      <c r="C108" s="24" t="s">
        <v>262</v>
      </c>
      <c r="D108" s="9" t="s">
        <v>306</v>
      </c>
      <c r="E108" s="6"/>
      <c r="F108" s="6">
        <v>70000</v>
      </c>
      <c r="G108" s="19"/>
    </row>
    <row r="109" spans="1:7" ht="21" x14ac:dyDescent="0.4">
      <c r="A109" s="10">
        <v>103</v>
      </c>
      <c r="B109" s="31">
        <v>46261</v>
      </c>
      <c r="C109" s="24" t="s">
        <v>268</v>
      </c>
      <c r="D109" s="9" t="s">
        <v>306</v>
      </c>
      <c r="E109" s="6"/>
      <c r="F109" s="6">
        <f>25000+24000</f>
        <v>49000</v>
      </c>
      <c r="G109" s="19"/>
    </row>
    <row r="110" spans="1:7" ht="21" x14ac:dyDescent="0.4">
      <c r="A110" s="10">
        <v>104</v>
      </c>
      <c r="B110" s="31">
        <v>46262</v>
      </c>
      <c r="C110" s="24" t="s">
        <v>257</v>
      </c>
      <c r="D110" s="9"/>
      <c r="E110" s="6"/>
      <c r="F110" s="6">
        <v>50000</v>
      </c>
      <c r="G110" s="19"/>
    </row>
    <row r="111" spans="1:7" ht="21" x14ac:dyDescent="0.4">
      <c r="A111" s="10">
        <v>105</v>
      </c>
      <c r="B111" s="31">
        <v>46262</v>
      </c>
      <c r="C111" s="24" t="s">
        <v>258</v>
      </c>
      <c r="D111" s="9"/>
      <c r="E111" s="6"/>
      <c r="F111" s="6">
        <v>50000</v>
      </c>
      <c r="G111" s="19"/>
    </row>
    <row r="112" spans="1:7" ht="21" x14ac:dyDescent="0.4">
      <c r="A112" s="10">
        <v>106</v>
      </c>
      <c r="B112" s="31">
        <v>46264</v>
      </c>
      <c r="C112" s="24" t="s">
        <v>134</v>
      </c>
      <c r="D112" s="9"/>
      <c r="E112" s="6"/>
      <c r="F112" s="6">
        <v>342990</v>
      </c>
      <c r="G112" s="19"/>
    </row>
    <row r="113" spans="1:7" ht="21" x14ac:dyDescent="0.4">
      <c r="A113" s="10">
        <v>107</v>
      </c>
      <c r="B113" s="31">
        <v>46264</v>
      </c>
      <c r="C113" s="24" t="s">
        <v>95</v>
      </c>
      <c r="D113" s="9"/>
      <c r="E113" s="6">
        <v>1000000</v>
      </c>
      <c r="F113" s="6"/>
      <c r="G113" s="19"/>
    </row>
    <row r="114" spans="1:7" ht="21" x14ac:dyDescent="0.4">
      <c r="A114" s="10">
        <v>108</v>
      </c>
      <c r="B114" s="31">
        <v>46266</v>
      </c>
      <c r="C114" s="24" t="s">
        <v>259</v>
      </c>
      <c r="D114" s="9"/>
      <c r="E114" s="6"/>
      <c r="F114" s="6">
        <v>65000</v>
      </c>
      <c r="G114" s="19"/>
    </row>
    <row r="115" spans="1:7" ht="21" x14ac:dyDescent="0.4">
      <c r="A115" s="10">
        <v>109</v>
      </c>
      <c r="B115" s="31">
        <v>46266</v>
      </c>
      <c r="C115" s="24" t="s">
        <v>171</v>
      </c>
      <c r="D115" s="9" t="s">
        <v>37</v>
      </c>
      <c r="E115" s="6"/>
      <c r="F115" s="6">
        <v>50000</v>
      </c>
      <c r="G115" s="19"/>
    </row>
    <row r="116" spans="1:7" ht="21" x14ac:dyDescent="0.4">
      <c r="A116" s="10">
        <v>110</v>
      </c>
      <c r="B116" s="31">
        <v>46268</v>
      </c>
      <c r="C116" s="24" t="s">
        <v>153</v>
      </c>
      <c r="D116" s="9" t="s">
        <v>39</v>
      </c>
      <c r="E116" s="6"/>
      <c r="F116" s="6">
        <v>100000</v>
      </c>
      <c r="G116" s="19"/>
    </row>
    <row r="117" spans="1:7" ht="21" x14ac:dyDescent="0.4">
      <c r="A117" s="10">
        <v>111</v>
      </c>
      <c r="B117" s="31">
        <v>46269</v>
      </c>
      <c r="C117" s="24" t="s">
        <v>285</v>
      </c>
      <c r="D117" s="9"/>
      <c r="E117" s="6"/>
      <c r="F117" s="6">
        <v>67300</v>
      </c>
      <c r="G117" s="19"/>
    </row>
    <row r="118" spans="1:7" ht="21" x14ac:dyDescent="0.4">
      <c r="A118" s="10">
        <v>112</v>
      </c>
      <c r="B118" s="31">
        <v>46269</v>
      </c>
      <c r="C118" s="24" t="s">
        <v>286</v>
      </c>
      <c r="D118" s="9"/>
      <c r="E118" s="6"/>
      <c r="F118" s="6">
        <v>85000</v>
      </c>
      <c r="G118" s="19"/>
    </row>
    <row r="119" spans="1:7" ht="21" x14ac:dyDescent="0.4">
      <c r="A119" s="10">
        <v>113</v>
      </c>
      <c r="B119" s="31">
        <v>46269</v>
      </c>
      <c r="C119" s="24" t="s">
        <v>287</v>
      </c>
      <c r="D119" s="9"/>
      <c r="E119" s="6"/>
      <c r="F119" s="6">
        <v>88500</v>
      </c>
      <c r="G119" s="19"/>
    </row>
    <row r="120" spans="1:7" ht="21" x14ac:dyDescent="0.4">
      <c r="A120" s="10">
        <v>114</v>
      </c>
      <c r="B120" s="31">
        <v>46269</v>
      </c>
      <c r="C120" s="24" t="s">
        <v>288</v>
      </c>
      <c r="D120" s="9"/>
      <c r="E120" s="6"/>
      <c r="F120" s="6">
        <v>100000</v>
      </c>
      <c r="G120" s="19"/>
    </row>
    <row r="121" spans="1:7" ht="21" x14ac:dyDescent="0.4">
      <c r="A121" s="10">
        <v>115</v>
      </c>
      <c r="B121" s="31">
        <v>46269</v>
      </c>
      <c r="C121" s="24" t="s">
        <v>294</v>
      </c>
      <c r="D121" s="9"/>
      <c r="E121" s="6"/>
      <c r="F121" s="6">
        <v>20000</v>
      </c>
      <c r="G121" s="19"/>
    </row>
    <row r="122" spans="1:7" ht="21" x14ac:dyDescent="0.4">
      <c r="A122" s="10">
        <v>116</v>
      </c>
      <c r="B122" s="31">
        <v>46270</v>
      </c>
      <c r="C122" s="24" t="s">
        <v>95</v>
      </c>
      <c r="D122" s="9"/>
      <c r="E122" s="6">
        <v>1500000</v>
      </c>
      <c r="F122" s="6"/>
      <c r="G122" s="19"/>
    </row>
    <row r="123" spans="1:7" ht="21" x14ac:dyDescent="0.4">
      <c r="A123" s="10">
        <v>117</v>
      </c>
      <c r="B123" s="31">
        <v>46270</v>
      </c>
      <c r="C123" s="24" t="s">
        <v>289</v>
      </c>
      <c r="D123" s="9" t="s">
        <v>163</v>
      </c>
      <c r="E123" s="6"/>
      <c r="F123" s="6">
        <f>28000+35000+35000</f>
        <v>98000</v>
      </c>
      <c r="G123" s="19"/>
    </row>
    <row r="124" spans="1:7" ht="21" x14ac:dyDescent="0.4">
      <c r="A124" s="10">
        <v>118</v>
      </c>
      <c r="B124" s="31">
        <v>46270</v>
      </c>
      <c r="C124" s="24" t="s">
        <v>292</v>
      </c>
      <c r="D124" s="9" t="s">
        <v>264</v>
      </c>
      <c r="E124" s="6"/>
      <c r="F124" s="6">
        <v>350000</v>
      </c>
      <c r="G124" s="19"/>
    </row>
    <row r="125" spans="1:7" ht="21" x14ac:dyDescent="0.4">
      <c r="A125" s="10">
        <v>119</v>
      </c>
      <c r="B125" s="31">
        <v>46271</v>
      </c>
      <c r="C125" s="24" t="s">
        <v>293</v>
      </c>
      <c r="D125" s="9" t="s">
        <v>305</v>
      </c>
      <c r="E125" s="6"/>
      <c r="F125" s="6">
        <v>46000</v>
      </c>
      <c r="G125" s="19"/>
    </row>
    <row r="126" spans="1:7" ht="21" x14ac:dyDescent="0.4">
      <c r="A126" s="10">
        <v>120</v>
      </c>
      <c r="B126" s="31">
        <v>46272</v>
      </c>
      <c r="C126" s="24" t="s">
        <v>295</v>
      </c>
      <c r="D126" s="9"/>
      <c r="E126" s="6"/>
      <c r="F126" s="6">
        <v>29000</v>
      </c>
      <c r="G126" s="19"/>
    </row>
    <row r="127" spans="1:7" ht="21" x14ac:dyDescent="0.4">
      <c r="A127" s="10">
        <v>121</v>
      </c>
      <c r="B127" s="31">
        <v>46273</v>
      </c>
      <c r="C127" s="24" t="s">
        <v>290</v>
      </c>
      <c r="D127" s="9" t="s">
        <v>309</v>
      </c>
      <c r="E127" s="6"/>
      <c r="F127" s="6">
        <v>50000</v>
      </c>
      <c r="G127" s="19"/>
    </row>
    <row r="128" spans="1:7" ht="21" x14ac:dyDescent="0.4">
      <c r="A128" s="10">
        <v>122</v>
      </c>
      <c r="B128" s="31">
        <v>46273</v>
      </c>
      <c r="C128" s="24" t="s">
        <v>291</v>
      </c>
      <c r="D128" s="9"/>
      <c r="E128" s="6"/>
      <c r="F128" s="6">
        <f>72000+47000</f>
        <v>119000</v>
      </c>
      <c r="G128" s="19"/>
    </row>
    <row r="129" spans="1:7" ht="21" x14ac:dyDescent="0.4">
      <c r="A129" s="10">
        <v>123</v>
      </c>
      <c r="B129" s="31">
        <v>46274</v>
      </c>
      <c r="C129" s="24" t="s">
        <v>310</v>
      </c>
      <c r="D129" s="9"/>
      <c r="E129" s="6"/>
      <c r="F129" s="6">
        <v>100000</v>
      </c>
      <c r="G129" s="19"/>
    </row>
    <row r="130" spans="1:7" ht="21" x14ac:dyDescent="0.4">
      <c r="A130" s="10">
        <v>124</v>
      </c>
      <c r="B130" s="31">
        <v>46274</v>
      </c>
      <c r="C130" s="24" t="s">
        <v>311</v>
      </c>
      <c r="D130" s="9" t="s">
        <v>313</v>
      </c>
      <c r="E130" s="6"/>
      <c r="F130" s="6">
        <v>300000</v>
      </c>
      <c r="G130" s="19"/>
    </row>
    <row r="131" spans="1:7" ht="21" x14ac:dyDescent="0.4">
      <c r="A131" s="10">
        <v>125</v>
      </c>
      <c r="B131" s="31">
        <v>46274</v>
      </c>
      <c r="C131" s="24" t="s">
        <v>312</v>
      </c>
      <c r="D131" s="9"/>
      <c r="E131" s="6"/>
      <c r="F131" s="6">
        <v>300000</v>
      </c>
      <c r="G131" s="19"/>
    </row>
    <row r="132" spans="1:7" ht="21" x14ac:dyDescent="0.4">
      <c r="A132" s="10">
        <v>126</v>
      </c>
      <c r="B132" s="31">
        <v>46275</v>
      </c>
      <c r="C132" s="24" t="s">
        <v>316</v>
      </c>
      <c r="D132" s="9"/>
      <c r="E132" s="6">
        <v>5000000</v>
      </c>
      <c r="F132" s="6"/>
      <c r="G132" s="19"/>
    </row>
    <row r="133" spans="1:7" ht="21" x14ac:dyDescent="0.4">
      <c r="A133" s="10">
        <v>127</v>
      </c>
      <c r="B133" s="31">
        <v>46275</v>
      </c>
      <c r="C133" s="24" t="s">
        <v>317</v>
      </c>
      <c r="D133" s="9" t="s">
        <v>201</v>
      </c>
      <c r="E133" s="6"/>
      <c r="F133" s="6">
        <v>5000000</v>
      </c>
      <c r="G133" s="19"/>
    </row>
    <row r="134" spans="1:7" ht="21" x14ac:dyDescent="0.4">
      <c r="A134" s="10">
        <v>128</v>
      </c>
      <c r="B134" s="31">
        <v>46275</v>
      </c>
      <c r="C134" s="24" t="s">
        <v>325</v>
      </c>
      <c r="D134" s="9"/>
      <c r="E134" s="6"/>
      <c r="F134" s="6">
        <v>75000</v>
      </c>
      <c r="G134" s="19"/>
    </row>
    <row r="135" spans="1:7" ht="21" x14ac:dyDescent="0.4">
      <c r="A135" s="10">
        <v>129</v>
      </c>
      <c r="B135" s="31">
        <v>46276</v>
      </c>
      <c r="C135" s="24" t="s">
        <v>259</v>
      </c>
      <c r="D135" s="9"/>
      <c r="E135" s="6"/>
      <c r="F135" s="6">
        <v>63000</v>
      </c>
      <c r="G135" s="19"/>
    </row>
    <row r="136" spans="1:7" ht="21" x14ac:dyDescent="0.4">
      <c r="A136" s="10">
        <v>130</v>
      </c>
      <c r="B136" s="31">
        <v>46277</v>
      </c>
      <c r="C136" s="24" t="s">
        <v>95</v>
      </c>
      <c r="D136" s="9"/>
      <c r="E136" s="6">
        <v>1300000</v>
      </c>
      <c r="F136" s="6"/>
      <c r="G136" s="19"/>
    </row>
    <row r="137" spans="1:7" ht="21" x14ac:dyDescent="0.4">
      <c r="A137" s="10">
        <v>131</v>
      </c>
      <c r="B137" s="31">
        <v>46278</v>
      </c>
      <c r="C137" s="24" t="s">
        <v>326</v>
      </c>
      <c r="D137" s="9"/>
      <c r="E137" s="6"/>
      <c r="F137" s="6">
        <v>300000</v>
      </c>
      <c r="G137" s="19"/>
    </row>
    <row r="138" spans="1:7" ht="21" x14ac:dyDescent="0.4">
      <c r="A138" s="10">
        <v>132</v>
      </c>
      <c r="B138" s="31">
        <v>46279</v>
      </c>
      <c r="C138" s="24" t="s">
        <v>327</v>
      </c>
      <c r="D138" s="9" t="s">
        <v>332</v>
      </c>
      <c r="E138" s="6"/>
      <c r="F138" s="6">
        <v>14000</v>
      </c>
      <c r="G138" s="19"/>
    </row>
    <row r="139" spans="1:7" ht="21" x14ac:dyDescent="0.4">
      <c r="A139" s="10">
        <v>133</v>
      </c>
      <c r="B139" s="31">
        <v>46279</v>
      </c>
      <c r="C139" s="24" t="s">
        <v>186</v>
      </c>
      <c r="D139" s="9" t="s">
        <v>177</v>
      </c>
      <c r="E139" s="6"/>
      <c r="F139" s="6">
        <v>22500</v>
      </c>
      <c r="G139" s="19"/>
    </row>
    <row r="140" spans="1:7" ht="21" x14ac:dyDescent="0.4">
      <c r="A140" s="10">
        <v>134</v>
      </c>
      <c r="B140" s="31">
        <v>46279</v>
      </c>
      <c r="C140" s="24" t="s">
        <v>328</v>
      </c>
      <c r="D140" s="9" t="s">
        <v>332</v>
      </c>
      <c r="E140" s="6"/>
      <c r="F140" s="6">
        <v>100000</v>
      </c>
      <c r="G140" s="19"/>
    </row>
    <row r="141" spans="1:7" ht="21" x14ac:dyDescent="0.4">
      <c r="A141" s="10">
        <v>135</v>
      </c>
      <c r="B141" s="31">
        <v>46279</v>
      </c>
      <c r="C141" s="24" t="s">
        <v>329</v>
      </c>
      <c r="D141" s="9" t="s">
        <v>332</v>
      </c>
      <c r="E141" s="6"/>
      <c r="F141" s="6">
        <v>29900</v>
      </c>
      <c r="G141" s="19"/>
    </row>
    <row r="142" spans="1:7" ht="21" x14ac:dyDescent="0.4">
      <c r="A142" s="10">
        <v>136</v>
      </c>
      <c r="B142" s="31">
        <v>46280</v>
      </c>
      <c r="C142" s="24" t="s">
        <v>335</v>
      </c>
      <c r="D142" s="9" t="s">
        <v>177</v>
      </c>
      <c r="E142" s="6"/>
      <c r="F142" s="6">
        <v>150000</v>
      </c>
      <c r="G142" s="19"/>
    </row>
    <row r="143" spans="1:7" ht="21" x14ac:dyDescent="0.4">
      <c r="A143" s="10">
        <v>137</v>
      </c>
      <c r="B143" s="31">
        <v>46281</v>
      </c>
      <c r="C143" s="24" t="s">
        <v>336</v>
      </c>
      <c r="D143" s="9"/>
      <c r="E143" s="6"/>
      <c r="F143" s="6">
        <v>59000</v>
      </c>
      <c r="G143" s="19"/>
    </row>
    <row r="144" spans="1:7" ht="21" x14ac:dyDescent="0.4">
      <c r="A144" s="10">
        <v>138</v>
      </c>
      <c r="B144" s="31">
        <v>46281</v>
      </c>
      <c r="C144" s="24" t="s">
        <v>337</v>
      </c>
      <c r="D144" s="9"/>
      <c r="E144" s="6"/>
      <c r="F144" s="6">
        <v>38000</v>
      </c>
      <c r="G144" s="19"/>
    </row>
    <row r="145" spans="1:7" ht="21" x14ac:dyDescent="0.4">
      <c r="A145" s="10">
        <v>139</v>
      </c>
      <c r="B145" s="31">
        <v>46281</v>
      </c>
      <c r="C145" s="24" t="s">
        <v>338</v>
      </c>
      <c r="D145" s="9"/>
      <c r="E145" s="6"/>
      <c r="F145" s="6">
        <v>120000</v>
      </c>
      <c r="G145" s="19"/>
    </row>
    <row r="146" spans="1:7" ht="21" x14ac:dyDescent="0.4">
      <c r="A146" s="10">
        <v>140</v>
      </c>
      <c r="B146" s="31">
        <v>46281</v>
      </c>
      <c r="C146" s="24" t="s">
        <v>339</v>
      </c>
      <c r="D146" s="9"/>
      <c r="E146" s="6"/>
      <c r="F146" s="6">
        <v>370000</v>
      </c>
      <c r="G146" s="19"/>
    </row>
    <row r="147" spans="1:7" ht="21" x14ac:dyDescent="0.4">
      <c r="A147" s="10">
        <v>141</v>
      </c>
      <c r="B147" s="31">
        <v>46281</v>
      </c>
      <c r="C147" s="24" t="s">
        <v>167</v>
      </c>
      <c r="D147" s="9"/>
      <c r="E147" s="6"/>
      <c r="F147" s="6">
        <v>20000</v>
      </c>
      <c r="G147" s="19"/>
    </row>
    <row r="148" spans="1:7" ht="21" x14ac:dyDescent="0.4">
      <c r="A148" s="10">
        <v>142</v>
      </c>
      <c r="B148" s="31">
        <v>46282</v>
      </c>
      <c r="C148" s="24" t="s">
        <v>340</v>
      </c>
      <c r="D148" s="9"/>
      <c r="E148" s="6"/>
      <c r="F148" s="6">
        <v>60000</v>
      </c>
      <c r="G148" s="19"/>
    </row>
    <row r="149" spans="1:7" ht="21" x14ac:dyDescent="0.4">
      <c r="A149" s="10">
        <v>143</v>
      </c>
      <c r="B149" s="31">
        <v>46283</v>
      </c>
      <c r="C149" s="24" t="s">
        <v>259</v>
      </c>
      <c r="D149" s="9"/>
      <c r="E149" s="6"/>
      <c r="F149" s="6">
        <v>63000</v>
      </c>
      <c r="G149" s="19"/>
    </row>
    <row r="150" spans="1:7" ht="21" x14ac:dyDescent="0.4">
      <c r="A150" s="10">
        <v>144</v>
      </c>
      <c r="B150" s="31">
        <v>46283</v>
      </c>
      <c r="C150" s="24" t="s">
        <v>347</v>
      </c>
      <c r="D150" s="9"/>
      <c r="E150" s="6"/>
      <c r="F150" s="6">
        <v>102000</v>
      </c>
      <c r="G150" s="19"/>
    </row>
    <row r="151" spans="1:7" ht="21" x14ac:dyDescent="0.4">
      <c r="A151" s="10">
        <v>145</v>
      </c>
      <c r="B151" s="31">
        <v>46283</v>
      </c>
      <c r="C151" s="24" t="s">
        <v>348</v>
      </c>
      <c r="D151" s="9" t="s">
        <v>39</v>
      </c>
      <c r="E151" s="6"/>
      <c r="F151" s="6">
        <v>100000</v>
      </c>
      <c r="G151" s="19"/>
    </row>
    <row r="152" spans="1:7" ht="21" x14ac:dyDescent="0.4">
      <c r="A152" s="10">
        <v>146</v>
      </c>
      <c r="B152" s="31">
        <v>46285</v>
      </c>
      <c r="C152" s="24" t="s">
        <v>180</v>
      </c>
      <c r="D152" s="9"/>
      <c r="E152" s="6"/>
      <c r="F152" s="6">
        <v>45000</v>
      </c>
      <c r="G152" s="19"/>
    </row>
    <row r="153" spans="1:7" ht="21" x14ac:dyDescent="0.4">
      <c r="A153" s="10">
        <v>147</v>
      </c>
      <c r="B153" s="31">
        <v>46286</v>
      </c>
      <c r="C153" s="24" t="s">
        <v>101</v>
      </c>
      <c r="D153" s="9"/>
      <c r="E153" s="6"/>
      <c r="F153" s="6">
        <v>369300</v>
      </c>
      <c r="G153" s="19"/>
    </row>
    <row r="154" spans="1:7" ht="21" x14ac:dyDescent="0.4">
      <c r="A154" s="10">
        <v>148</v>
      </c>
      <c r="B154" s="31">
        <v>46286</v>
      </c>
      <c r="C154" s="24" t="s">
        <v>351</v>
      </c>
      <c r="D154" s="9"/>
      <c r="E154" s="6"/>
      <c r="F154" s="6">
        <v>121500</v>
      </c>
      <c r="G154" s="19"/>
    </row>
    <row r="155" spans="1:7" ht="21" x14ac:dyDescent="0.4">
      <c r="A155" s="10">
        <v>149</v>
      </c>
      <c r="B155" s="31">
        <v>46287</v>
      </c>
      <c r="C155" s="24" t="s">
        <v>352</v>
      </c>
      <c r="D155" s="9" t="s">
        <v>361</v>
      </c>
      <c r="E155" s="6"/>
      <c r="F155" s="6">
        <v>50000</v>
      </c>
      <c r="G155" s="19"/>
    </row>
    <row r="156" spans="1:7" ht="21" x14ac:dyDescent="0.4">
      <c r="A156" s="10">
        <v>150</v>
      </c>
      <c r="B156" s="31">
        <v>46287</v>
      </c>
      <c r="C156" s="24" t="s">
        <v>353</v>
      </c>
      <c r="D156" s="9" t="s">
        <v>361</v>
      </c>
      <c r="E156" s="6"/>
      <c r="F156" s="6">
        <v>100000</v>
      </c>
      <c r="G156" s="19"/>
    </row>
    <row r="157" spans="1:7" ht="21" x14ac:dyDescent="0.4">
      <c r="A157" s="10">
        <v>151</v>
      </c>
      <c r="B157" s="31">
        <v>46287</v>
      </c>
      <c r="C157" s="24" t="s">
        <v>354</v>
      </c>
      <c r="D157" s="9" t="s">
        <v>361</v>
      </c>
      <c r="E157" s="6"/>
      <c r="F157" s="6">
        <f>8000+50000</f>
        <v>58000</v>
      </c>
      <c r="G157" s="19"/>
    </row>
    <row r="158" spans="1:7" ht="21" x14ac:dyDescent="0.4">
      <c r="A158" s="10">
        <v>152</v>
      </c>
      <c r="B158" s="31">
        <v>46287</v>
      </c>
      <c r="C158" s="24" t="s">
        <v>356</v>
      </c>
      <c r="D158" s="9" t="s">
        <v>365</v>
      </c>
      <c r="E158" s="6"/>
      <c r="F158" s="6">
        <v>99000</v>
      </c>
      <c r="G158" s="19"/>
    </row>
    <row r="159" spans="1:7" ht="21" x14ac:dyDescent="0.4">
      <c r="A159" s="10">
        <v>153</v>
      </c>
      <c r="B159" s="31">
        <v>46287</v>
      </c>
      <c r="C159" s="24" t="s">
        <v>357</v>
      </c>
      <c r="D159" s="9" t="s">
        <v>177</v>
      </c>
      <c r="E159" s="6"/>
      <c r="F159" s="6">
        <v>200000</v>
      </c>
      <c r="G159" s="19"/>
    </row>
    <row r="160" spans="1:7" ht="21" x14ac:dyDescent="0.4">
      <c r="A160" s="10">
        <v>154</v>
      </c>
      <c r="B160" s="31">
        <v>46288</v>
      </c>
      <c r="C160" s="24" t="s">
        <v>355</v>
      </c>
      <c r="D160" s="9" t="s">
        <v>42</v>
      </c>
      <c r="E160" s="6"/>
      <c r="F160" s="6">
        <v>100000</v>
      </c>
      <c r="G160" s="19"/>
    </row>
    <row r="161" spans="1:7" ht="21" x14ac:dyDescent="0.4">
      <c r="A161" s="10">
        <v>155</v>
      </c>
      <c r="B161" s="31">
        <v>46288</v>
      </c>
      <c r="C161" s="24" t="s">
        <v>286</v>
      </c>
      <c r="D161" s="9"/>
      <c r="E161" s="6"/>
      <c r="F161" s="6">
        <v>85000</v>
      </c>
      <c r="G161" s="19"/>
    </row>
    <row r="162" spans="1:7" ht="21" x14ac:dyDescent="0.4">
      <c r="A162" s="10">
        <v>156</v>
      </c>
      <c r="B162" s="31">
        <v>46288</v>
      </c>
      <c r="C162" s="24" t="s">
        <v>367</v>
      </c>
      <c r="D162" s="9" t="s">
        <v>332</v>
      </c>
      <c r="E162" s="6"/>
      <c r="F162" s="6">
        <v>100000</v>
      </c>
      <c r="G162" s="19"/>
    </row>
    <row r="163" spans="1:7" ht="21" x14ac:dyDescent="0.4">
      <c r="A163" s="10">
        <v>157</v>
      </c>
      <c r="B163" s="31">
        <v>46288</v>
      </c>
      <c r="C163" s="24" t="s">
        <v>368</v>
      </c>
      <c r="D163" s="9"/>
      <c r="E163" s="6">
        <v>2500000</v>
      </c>
      <c r="F163" s="6"/>
      <c r="G163" s="19"/>
    </row>
    <row r="164" spans="1:7" ht="21" x14ac:dyDescent="0.4">
      <c r="A164" s="10">
        <v>158</v>
      </c>
      <c r="B164" s="31">
        <v>46288</v>
      </c>
      <c r="C164" s="24" t="s">
        <v>369</v>
      </c>
      <c r="D164" s="9" t="s">
        <v>177</v>
      </c>
      <c r="E164" s="6"/>
      <c r="F164" s="6">
        <v>2500000</v>
      </c>
      <c r="G164" s="19"/>
    </row>
    <row r="165" spans="1:7" ht="21" x14ac:dyDescent="0.4">
      <c r="A165" s="10">
        <v>159</v>
      </c>
      <c r="B165" s="31">
        <v>46288</v>
      </c>
      <c r="C165" s="24" t="s">
        <v>372</v>
      </c>
      <c r="D165" s="9" t="s">
        <v>163</v>
      </c>
      <c r="E165" s="6"/>
      <c r="F165" s="6">
        <v>100000</v>
      </c>
      <c r="G165" s="19"/>
    </row>
    <row r="166" spans="1:7" ht="21" x14ac:dyDescent="0.4">
      <c r="A166" s="10">
        <v>160</v>
      </c>
      <c r="B166" s="31">
        <v>46289</v>
      </c>
      <c r="C166" s="24" t="s">
        <v>373</v>
      </c>
      <c r="D166" s="9" t="s">
        <v>365</v>
      </c>
      <c r="E166" s="6"/>
      <c r="F166" s="6">
        <v>154000</v>
      </c>
      <c r="G166" s="19"/>
    </row>
    <row r="167" spans="1:7" ht="21" x14ac:dyDescent="0.4">
      <c r="A167" s="10">
        <v>161</v>
      </c>
      <c r="B167" s="31">
        <v>46289</v>
      </c>
      <c r="C167" s="24" t="s">
        <v>374</v>
      </c>
      <c r="D167" s="9"/>
      <c r="E167" s="6"/>
      <c r="F167" s="6">
        <v>100000</v>
      </c>
      <c r="G167" s="19"/>
    </row>
    <row r="168" spans="1:7" ht="21" x14ac:dyDescent="0.4">
      <c r="A168" s="10">
        <v>162</v>
      </c>
      <c r="B168" s="31">
        <v>46289</v>
      </c>
      <c r="C168" s="24" t="s">
        <v>287</v>
      </c>
      <c r="D168" s="9"/>
      <c r="E168" s="6"/>
      <c r="F168" s="6">
        <v>100000</v>
      </c>
      <c r="G168" s="19"/>
    </row>
    <row r="169" spans="1:7" ht="21" x14ac:dyDescent="0.4">
      <c r="A169" s="10">
        <v>163</v>
      </c>
      <c r="B169" s="31">
        <v>46290</v>
      </c>
      <c r="C169" s="24" t="s">
        <v>95</v>
      </c>
      <c r="D169" s="9"/>
      <c r="E169" s="6">
        <v>4920000</v>
      </c>
      <c r="F169" s="6"/>
      <c r="G169" s="19"/>
    </row>
    <row r="170" spans="1:7" ht="21" x14ac:dyDescent="0.4">
      <c r="A170" s="10">
        <v>164</v>
      </c>
      <c r="B170" s="31">
        <v>46291</v>
      </c>
      <c r="C170" s="24" t="s">
        <v>382</v>
      </c>
      <c r="D170" s="9" t="s">
        <v>109</v>
      </c>
      <c r="E170" s="6"/>
      <c r="F170" s="6">
        <v>125000</v>
      </c>
      <c r="G170" s="19"/>
    </row>
    <row r="171" spans="1:7" ht="21" x14ac:dyDescent="0.4">
      <c r="A171" s="10">
        <v>165</v>
      </c>
      <c r="B171" s="31">
        <v>46291</v>
      </c>
      <c r="C171" s="24" t="s">
        <v>392</v>
      </c>
      <c r="D171" s="9" t="s">
        <v>425</v>
      </c>
      <c r="E171" s="6"/>
      <c r="F171" s="6">
        <v>50000</v>
      </c>
      <c r="G171" s="19"/>
    </row>
    <row r="172" spans="1:7" ht="21" x14ac:dyDescent="0.4">
      <c r="A172" s="10">
        <v>166</v>
      </c>
      <c r="B172" s="31">
        <v>46291</v>
      </c>
      <c r="C172" s="24" t="s">
        <v>398</v>
      </c>
      <c r="D172" s="9"/>
      <c r="E172" s="6"/>
      <c r="F172" s="6">
        <v>100000</v>
      </c>
      <c r="G172" s="19"/>
    </row>
    <row r="173" spans="1:7" ht="21" x14ac:dyDescent="0.4">
      <c r="A173" s="10">
        <v>167</v>
      </c>
      <c r="B173" s="31">
        <v>46291</v>
      </c>
      <c r="C173" s="24" t="s">
        <v>97</v>
      </c>
      <c r="D173" s="9"/>
      <c r="E173" s="6"/>
      <c r="F173" s="6">
        <v>15000</v>
      </c>
      <c r="G173" s="19"/>
    </row>
    <row r="174" spans="1:7" ht="21" x14ac:dyDescent="0.4">
      <c r="A174" s="10">
        <v>168</v>
      </c>
      <c r="B174" s="31">
        <v>46292</v>
      </c>
      <c r="C174" s="24" t="s">
        <v>390</v>
      </c>
      <c r="D174" s="9" t="s">
        <v>108</v>
      </c>
      <c r="E174" s="6"/>
      <c r="F174" s="6">
        <v>38000</v>
      </c>
      <c r="G174" s="19"/>
    </row>
    <row r="175" spans="1:7" ht="21" x14ac:dyDescent="0.4">
      <c r="A175" s="10">
        <v>169</v>
      </c>
      <c r="B175" s="31">
        <v>46292</v>
      </c>
      <c r="C175" s="24" t="s">
        <v>391</v>
      </c>
      <c r="D175" s="9" t="s">
        <v>108</v>
      </c>
      <c r="E175" s="6"/>
      <c r="F175" s="6">
        <v>50000</v>
      </c>
      <c r="G175" s="19"/>
    </row>
    <row r="176" spans="1:7" ht="21" x14ac:dyDescent="0.4">
      <c r="A176" s="10">
        <v>170</v>
      </c>
      <c r="B176" s="31">
        <v>46293</v>
      </c>
      <c r="C176" s="24" t="s">
        <v>383</v>
      </c>
      <c r="D176" s="9" t="s">
        <v>365</v>
      </c>
      <c r="E176" s="6"/>
      <c r="F176" s="6">
        <v>80000</v>
      </c>
      <c r="G176" s="19"/>
    </row>
    <row r="177" spans="1:7" ht="21" x14ac:dyDescent="0.4">
      <c r="A177" s="10">
        <v>171</v>
      </c>
      <c r="B177" s="31">
        <v>46294</v>
      </c>
      <c r="C177" s="24" t="s">
        <v>384</v>
      </c>
      <c r="D177" s="9" t="s">
        <v>313</v>
      </c>
      <c r="E177" s="6"/>
      <c r="F177" s="6">
        <v>35000</v>
      </c>
      <c r="G177" s="19"/>
    </row>
    <row r="178" spans="1:7" ht="21" x14ac:dyDescent="0.4">
      <c r="A178" s="10">
        <v>172</v>
      </c>
      <c r="B178" s="31">
        <v>46294</v>
      </c>
      <c r="C178" s="24" t="s">
        <v>134</v>
      </c>
      <c r="D178" s="9"/>
      <c r="E178" s="6"/>
      <c r="F178" s="6">
        <v>346000</v>
      </c>
      <c r="G178" s="19"/>
    </row>
    <row r="179" spans="1:7" ht="21" x14ac:dyDescent="0.4">
      <c r="A179" s="10">
        <v>173</v>
      </c>
      <c r="B179" s="31">
        <v>46294</v>
      </c>
      <c r="C179" s="24" t="s">
        <v>385</v>
      </c>
      <c r="D179" s="9"/>
      <c r="E179" s="6"/>
      <c r="F179" s="6">
        <v>53000</v>
      </c>
      <c r="G179" s="19"/>
    </row>
    <row r="180" spans="1:7" ht="21" x14ac:dyDescent="0.4">
      <c r="A180" s="10">
        <v>174</v>
      </c>
      <c r="B180" s="31">
        <v>46294</v>
      </c>
      <c r="C180" s="24" t="s">
        <v>393</v>
      </c>
      <c r="D180" s="9"/>
      <c r="E180" s="6"/>
      <c r="F180" s="6">
        <v>200000</v>
      </c>
      <c r="G180" s="19"/>
    </row>
    <row r="181" spans="1:7" ht="21" x14ac:dyDescent="0.4">
      <c r="A181" s="10">
        <v>175</v>
      </c>
      <c r="B181" s="31">
        <v>46295</v>
      </c>
      <c r="C181" s="24" t="s">
        <v>259</v>
      </c>
      <c r="D181" s="9"/>
      <c r="E181" s="6"/>
      <c r="F181" s="6">
        <v>65000</v>
      </c>
      <c r="G181" s="19"/>
    </row>
    <row r="182" spans="1:7" ht="21" x14ac:dyDescent="0.4">
      <c r="A182" s="10">
        <v>176</v>
      </c>
      <c r="B182" s="31">
        <v>46295</v>
      </c>
      <c r="C182" s="24" t="s">
        <v>386</v>
      </c>
      <c r="D182" s="9"/>
      <c r="E182" s="6"/>
      <c r="F182" s="6">
        <v>356000</v>
      </c>
      <c r="G182" s="19"/>
    </row>
    <row r="183" spans="1:7" ht="21" x14ac:dyDescent="0.4">
      <c r="A183" s="10">
        <v>177</v>
      </c>
      <c r="B183" s="31">
        <v>46295</v>
      </c>
      <c r="C183" s="24" t="s">
        <v>387</v>
      </c>
      <c r="D183" s="9" t="s">
        <v>37</v>
      </c>
      <c r="E183" s="6"/>
      <c r="F183" s="6">
        <v>917000</v>
      </c>
      <c r="G183" s="19"/>
    </row>
    <row r="184" spans="1:7" ht="21" x14ac:dyDescent="0.4">
      <c r="A184" s="10">
        <v>178</v>
      </c>
      <c r="B184" s="31">
        <v>46295</v>
      </c>
      <c r="C184" s="24" t="s">
        <v>394</v>
      </c>
      <c r="D184" s="9"/>
      <c r="E184" s="6"/>
      <c r="F184" s="6">
        <v>198900</v>
      </c>
      <c r="G184" s="19"/>
    </row>
    <row r="185" spans="1:7" ht="21" x14ac:dyDescent="0.4">
      <c r="A185" s="10">
        <v>179</v>
      </c>
      <c r="B185" s="31">
        <v>46295</v>
      </c>
      <c r="C185" s="24" t="s">
        <v>388</v>
      </c>
      <c r="D185" s="9" t="s">
        <v>109</v>
      </c>
      <c r="E185" s="6"/>
      <c r="F185" s="6">
        <v>37000</v>
      </c>
      <c r="G185" s="19"/>
    </row>
    <row r="186" spans="1:7" ht="21" x14ac:dyDescent="0.4">
      <c r="A186" s="10">
        <v>180</v>
      </c>
      <c r="B186" s="31">
        <v>46295</v>
      </c>
      <c r="C186" s="24" t="s">
        <v>389</v>
      </c>
      <c r="D186" s="9" t="s">
        <v>37</v>
      </c>
      <c r="E186" s="6"/>
      <c r="F186" s="6">
        <v>58000</v>
      </c>
      <c r="G186" s="19"/>
    </row>
    <row r="187" spans="1:7" ht="21" x14ac:dyDescent="0.4">
      <c r="A187" s="10"/>
      <c r="B187" s="31">
        <v>46297</v>
      </c>
      <c r="C187" s="24" t="s">
        <v>405</v>
      </c>
      <c r="D187" s="9"/>
      <c r="E187" s="6"/>
      <c r="F187" s="6">
        <v>46800</v>
      </c>
      <c r="G187" s="19"/>
    </row>
    <row r="188" spans="1:7" ht="21" x14ac:dyDescent="0.4">
      <c r="A188" s="10"/>
      <c r="B188" s="31">
        <v>46297</v>
      </c>
      <c r="C188" s="24" t="s">
        <v>406</v>
      </c>
      <c r="D188" s="9" t="s">
        <v>304</v>
      </c>
      <c r="E188" s="6"/>
      <c r="F188" s="6">
        <v>33000</v>
      </c>
      <c r="G188" s="19"/>
    </row>
    <row r="189" spans="1:7" ht="21" x14ac:dyDescent="0.4">
      <c r="A189" s="10"/>
      <c r="B189" s="31">
        <v>46297</v>
      </c>
      <c r="C189" s="24" t="s">
        <v>407</v>
      </c>
      <c r="D189" s="9" t="s">
        <v>304</v>
      </c>
      <c r="E189" s="6"/>
      <c r="F189" s="6">
        <v>9000</v>
      </c>
      <c r="G189" s="19"/>
    </row>
    <row r="190" spans="1:7" ht="21" x14ac:dyDescent="0.4">
      <c r="A190" s="10"/>
      <c r="B190" s="31">
        <v>46297</v>
      </c>
      <c r="C190" s="24" t="s">
        <v>410</v>
      </c>
      <c r="D190" s="9" t="s">
        <v>304</v>
      </c>
      <c r="E190" s="6"/>
      <c r="F190" s="6">
        <v>10000</v>
      </c>
      <c r="G190" s="19"/>
    </row>
    <row r="191" spans="1:7" ht="21" x14ac:dyDescent="0.4">
      <c r="A191" s="10"/>
      <c r="B191" s="31">
        <v>46298</v>
      </c>
      <c r="C191" s="24" t="s">
        <v>408</v>
      </c>
      <c r="D191" s="9" t="s">
        <v>409</v>
      </c>
      <c r="E191" s="6"/>
      <c r="F191" s="6">
        <v>125000</v>
      </c>
      <c r="G191" s="19"/>
    </row>
    <row r="192" spans="1:7" ht="21" x14ac:dyDescent="0.4">
      <c r="A192" s="10"/>
      <c r="B192" s="31">
        <v>46298</v>
      </c>
      <c r="C192" s="24" t="s">
        <v>411</v>
      </c>
      <c r="D192" s="9" t="s">
        <v>37</v>
      </c>
      <c r="E192" s="6"/>
      <c r="F192" s="6">
        <v>50000</v>
      </c>
      <c r="G192" s="19"/>
    </row>
    <row r="193" spans="1:7" ht="21" x14ac:dyDescent="0.4">
      <c r="A193" s="10"/>
      <c r="B193" s="31">
        <v>46298</v>
      </c>
      <c r="C193" s="24" t="s">
        <v>412</v>
      </c>
      <c r="D193" s="9" t="s">
        <v>37</v>
      </c>
      <c r="E193" s="6"/>
      <c r="F193" s="6">
        <v>77600</v>
      </c>
      <c r="G193" s="19"/>
    </row>
    <row r="194" spans="1:7" ht="21" x14ac:dyDescent="0.4">
      <c r="A194" s="10"/>
      <c r="B194" s="31">
        <v>46299</v>
      </c>
      <c r="C194" s="24" t="s">
        <v>167</v>
      </c>
      <c r="D194" s="9"/>
      <c r="E194" s="6"/>
      <c r="F194" s="6">
        <v>15000</v>
      </c>
      <c r="G194" s="19"/>
    </row>
    <row r="195" spans="1:7" ht="21" x14ac:dyDescent="0.4">
      <c r="A195" s="10"/>
      <c r="B195" s="31">
        <v>46300</v>
      </c>
      <c r="C195" s="24" t="s">
        <v>413</v>
      </c>
      <c r="D195" s="9" t="s">
        <v>401</v>
      </c>
      <c r="E195" s="6"/>
      <c r="F195" s="6">
        <v>74300</v>
      </c>
      <c r="G195" s="19"/>
    </row>
    <row r="196" spans="1:7" ht="21" x14ac:dyDescent="0.4">
      <c r="A196" s="10"/>
      <c r="B196" s="31">
        <v>46300</v>
      </c>
      <c r="C196" s="24" t="s">
        <v>414</v>
      </c>
      <c r="D196" s="9" t="s">
        <v>401</v>
      </c>
      <c r="E196" s="6"/>
      <c r="F196" s="6">
        <v>100000</v>
      </c>
      <c r="G196" s="19"/>
    </row>
    <row r="197" spans="1:7" ht="21" x14ac:dyDescent="0.4">
      <c r="A197" s="10"/>
      <c r="B197" s="31">
        <v>46300</v>
      </c>
      <c r="C197" s="24" t="s">
        <v>125</v>
      </c>
      <c r="D197" s="9" t="s">
        <v>401</v>
      </c>
      <c r="E197" s="6"/>
      <c r="F197" s="6">
        <v>78000</v>
      </c>
      <c r="G197" s="19"/>
    </row>
    <row r="198" spans="1:7" ht="21" x14ac:dyDescent="0.4">
      <c r="A198" s="10"/>
      <c r="B198" s="31">
        <v>46300</v>
      </c>
      <c r="C198" s="24" t="s">
        <v>104</v>
      </c>
      <c r="D198" s="9"/>
      <c r="E198" s="6"/>
      <c r="F198" s="6">
        <v>24000</v>
      </c>
      <c r="G198" s="19"/>
    </row>
    <row r="199" spans="1:7" ht="21" x14ac:dyDescent="0.4">
      <c r="A199" s="10"/>
      <c r="B199" s="31">
        <v>46301</v>
      </c>
      <c r="C199" s="24" t="s">
        <v>259</v>
      </c>
      <c r="D199" s="9"/>
      <c r="E199" s="6"/>
      <c r="F199" s="6">
        <v>63000</v>
      </c>
      <c r="G199" s="19"/>
    </row>
    <row r="200" spans="1:7" ht="21" x14ac:dyDescent="0.4">
      <c r="A200" s="10"/>
      <c r="B200" s="31">
        <v>46301</v>
      </c>
      <c r="C200" s="24" t="s">
        <v>415</v>
      </c>
      <c r="D200" s="9"/>
      <c r="E200" s="6"/>
      <c r="F200" s="6">
        <v>92000</v>
      </c>
      <c r="G200" s="19"/>
    </row>
    <row r="201" spans="1:7" ht="21" x14ac:dyDescent="0.4">
      <c r="A201" s="10"/>
      <c r="B201" s="31">
        <v>46302</v>
      </c>
      <c r="C201" s="24" t="s">
        <v>416</v>
      </c>
      <c r="D201" s="9"/>
      <c r="E201" s="6"/>
      <c r="F201" s="6">
        <v>36000</v>
      </c>
      <c r="G201" s="19"/>
    </row>
    <row r="202" spans="1:7" ht="21" x14ac:dyDescent="0.4">
      <c r="A202" s="10"/>
      <c r="B202" s="31">
        <v>46303</v>
      </c>
      <c r="C202" s="24" t="s">
        <v>167</v>
      </c>
      <c r="D202" s="9"/>
      <c r="E202" s="6"/>
      <c r="F202" s="6">
        <v>15000</v>
      </c>
      <c r="G202" s="19"/>
    </row>
    <row r="203" spans="1:7" ht="21" x14ac:dyDescent="0.4">
      <c r="A203" s="10"/>
      <c r="B203" s="31">
        <v>46303</v>
      </c>
      <c r="C203" s="24" t="s">
        <v>153</v>
      </c>
      <c r="D203" s="9" t="s">
        <v>39</v>
      </c>
      <c r="E203" s="6"/>
      <c r="F203" s="6">
        <v>100000</v>
      </c>
      <c r="G203" s="19"/>
    </row>
    <row r="204" spans="1:7" ht="21" x14ac:dyDescent="0.4">
      <c r="A204" s="10"/>
      <c r="B204" s="31">
        <v>46303</v>
      </c>
      <c r="C204" s="24" t="s">
        <v>417</v>
      </c>
      <c r="D204" s="9" t="s">
        <v>403</v>
      </c>
      <c r="E204" s="6"/>
      <c r="F204" s="6">
        <v>68500</v>
      </c>
      <c r="G204" s="19"/>
    </row>
    <row r="205" spans="1:7" ht="21" x14ac:dyDescent="0.4">
      <c r="A205" s="10"/>
      <c r="B205" s="31">
        <v>46303</v>
      </c>
      <c r="C205" s="24" t="s">
        <v>418</v>
      </c>
      <c r="D205" s="9" t="s">
        <v>403</v>
      </c>
      <c r="E205" s="6"/>
      <c r="F205" s="6">
        <v>45000</v>
      </c>
      <c r="G205" s="19"/>
    </row>
    <row r="206" spans="1:7" ht="21" x14ac:dyDescent="0.4">
      <c r="A206" s="10"/>
      <c r="B206" s="31">
        <v>46303</v>
      </c>
      <c r="C206" s="24" t="s">
        <v>423</v>
      </c>
      <c r="D206" s="9"/>
      <c r="E206" s="6"/>
      <c r="F206" s="6">
        <v>600000</v>
      </c>
      <c r="G206" s="19"/>
    </row>
    <row r="207" spans="1:7" ht="21" x14ac:dyDescent="0.4">
      <c r="A207" s="10"/>
      <c r="B207" s="31">
        <v>46304</v>
      </c>
      <c r="C207" s="24" t="s">
        <v>153</v>
      </c>
      <c r="D207" s="9" t="s">
        <v>39</v>
      </c>
      <c r="E207" s="6"/>
      <c r="F207" s="6">
        <v>100000</v>
      </c>
      <c r="G207" s="19"/>
    </row>
    <row r="208" spans="1:7" ht="21" x14ac:dyDescent="0.4">
      <c r="A208" s="10"/>
      <c r="B208" s="31">
        <v>46304</v>
      </c>
      <c r="C208" s="24" t="s">
        <v>419</v>
      </c>
      <c r="D208" s="9"/>
      <c r="E208" s="6"/>
      <c r="F208" s="6">
        <v>25000</v>
      </c>
      <c r="G208" s="19"/>
    </row>
    <row r="209" spans="1:7" ht="21" x14ac:dyDescent="0.4">
      <c r="A209" s="10"/>
      <c r="B209" s="31">
        <v>46304</v>
      </c>
      <c r="C209" s="24" t="s">
        <v>420</v>
      </c>
      <c r="D209" s="9" t="s">
        <v>37</v>
      </c>
      <c r="E209" s="6"/>
      <c r="F209" s="6">
        <v>58000</v>
      </c>
      <c r="G209" s="19"/>
    </row>
    <row r="210" spans="1:7" ht="21" x14ac:dyDescent="0.4">
      <c r="A210" s="10"/>
      <c r="B210" s="31">
        <v>46304</v>
      </c>
      <c r="C210" s="24" t="s">
        <v>421</v>
      </c>
      <c r="D210" s="9" t="s">
        <v>37</v>
      </c>
      <c r="E210" s="6"/>
      <c r="F210" s="6">
        <v>100000</v>
      </c>
      <c r="G210" s="19"/>
    </row>
    <row r="211" spans="1:7" ht="21" x14ac:dyDescent="0.4">
      <c r="A211" s="10"/>
      <c r="B211" s="31">
        <v>46304</v>
      </c>
      <c r="C211" s="24" t="s">
        <v>422</v>
      </c>
      <c r="D211" s="9" t="s">
        <v>313</v>
      </c>
      <c r="E211" s="6"/>
      <c r="F211" s="6">
        <v>46000</v>
      </c>
      <c r="G211" s="19"/>
    </row>
    <row r="212" spans="1:7" ht="21" x14ac:dyDescent="0.4">
      <c r="A212" s="10"/>
      <c r="B212" s="31">
        <v>46305</v>
      </c>
      <c r="C212" s="24" t="s">
        <v>424</v>
      </c>
      <c r="D212" s="9" t="s">
        <v>425</v>
      </c>
      <c r="E212" s="6"/>
      <c r="F212" s="6">
        <v>90000</v>
      </c>
      <c r="G212" s="19"/>
    </row>
    <row r="213" spans="1:7" ht="21" x14ac:dyDescent="0.4">
      <c r="A213" s="10"/>
      <c r="B213" s="31">
        <v>46305</v>
      </c>
      <c r="C213" s="24" t="s">
        <v>95</v>
      </c>
      <c r="D213" s="9"/>
      <c r="E213" s="6">
        <v>6000000</v>
      </c>
      <c r="F213" s="6"/>
      <c r="G213" s="19"/>
    </row>
    <row r="214" spans="1:7" ht="21" x14ac:dyDescent="0.4">
      <c r="A214" s="10"/>
      <c r="B214" s="31"/>
      <c r="C214" s="24"/>
      <c r="D214" s="9"/>
      <c r="E214" s="6"/>
      <c r="F214" s="6"/>
      <c r="G214" s="19"/>
    </row>
    <row r="215" spans="1:7" ht="21" x14ac:dyDescent="0.4">
      <c r="A215" s="10"/>
      <c r="B215" s="31"/>
      <c r="C215" s="24"/>
      <c r="D215" s="9"/>
      <c r="E215" s="6"/>
      <c r="F215" s="6"/>
      <c r="G215" s="19"/>
    </row>
    <row r="216" spans="1:7" ht="21" x14ac:dyDescent="0.4">
      <c r="A216" s="10"/>
      <c r="B216" s="31"/>
      <c r="C216" s="24"/>
      <c r="D216" s="9"/>
      <c r="E216" s="6"/>
      <c r="F216" s="6"/>
      <c r="G216" s="19"/>
    </row>
    <row r="217" spans="1:7" ht="21" x14ac:dyDescent="0.4">
      <c r="A217" s="10"/>
      <c r="B217" s="31"/>
      <c r="C217" s="24"/>
      <c r="D217" s="9"/>
      <c r="E217" s="6"/>
      <c r="F217" s="6"/>
      <c r="G217" s="19"/>
    </row>
    <row r="218" spans="1:7" ht="21" x14ac:dyDescent="0.4">
      <c r="A218" s="10"/>
      <c r="B218" s="9"/>
      <c r="C218" s="24"/>
      <c r="D218" s="9"/>
      <c r="E218" s="6"/>
      <c r="F218" s="6"/>
      <c r="G218" s="19"/>
    </row>
    <row r="219" spans="1:7" ht="21" x14ac:dyDescent="0.4">
      <c r="A219" s="12"/>
      <c r="B219" s="13"/>
      <c r="C219" s="13"/>
      <c r="D219" s="13"/>
      <c r="E219" s="6"/>
      <c r="F219" s="12"/>
      <c r="G219" s="19"/>
    </row>
    <row r="220" spans="1:7" ht="18" x14ac:dyDescent="0.35">
      <c r="A220" s="55" t="s">
        <v>1</v>
      </c>
      <c r="B220" s="60"/>
      <c r="C220" s="61"/>
      <c r="D220" s="28"/>
      <c r="E220" s="15">
        <f>SUM(E7:E219)</f>
        <v>39920000</v>
      </c>
      <c r="F220" s="15">
        <f>SUM(F7:F219)</f>
        <v>36800558</v>
      </c>
      <c r="G220" s="22"/>
    </row>
    <row r="221" spans="1:7" x14ac:dyDescent="0.3">
      <c r="C221" s="4"/>
    </row>
  </sheetData>
  <mergeCells count="20">
    <mergeCell ref="J74:K74"/>
    <mergeCell ref="J75:K75"/>
    <mergeCell ref="A220:C220"/>
    <mergeCell ref="A5:A6"/>
    <mergeCell ref="C5:C6"/>
    <mergeCell ref="D5:D6"/>
    <mergeCell ref="B5:B6"/>
    <mergeCell ref="I73:K73"/>
    <mergeCell ref="O38:O39"/>
    <mergeCell ref="O5:O6"/>
    <mergeCell ref="I34:K34"/>
    <mergeCell ref="G5:G6"/>
    <mergeCell ref="I5:I6"/>
    <mergeCell ref="J5:J6"/>
    <mergeCell ref="K5:K6"/>
    <mergeCell ref="L5:L6"/>
    <mergeCell ref="I38:I39"/>
    <mergeCell ref="J38:J39"/>
    <mergeCell ref="K38:K39"/>
    <mergeCell ref="L38:L3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6652-903C-4DDD-B68B-CDD154BFD709}">
  <dimension ref="A1:Q88"/>
  <sheetViews>
    <sheetView topLeftCell="B83" zoomScale="70" zoomScaleNormal="70" workbookViewId="0">
      <selection sqref="A1:K94"/>
    </sheetView>
  </sheetViews>
  <sheetFormatPr defaultRowHeight="14.4" x14ac:dyDescent="0.3"/>
  <cols>
    <col min="1" max="1" width="6" customWidth="1"/>
    <col min="2" max="2" width="40.5546875" customWidth="1"/>
    <col min="3" max="3" width="30.6640625" customWidth="1"/>
    <col min="4" max="4" width="26" bestFit="1" customWidth="1"/>
    <col min="5" max="5" width="24.109375" customWidth="1"/>
    <col min="6" max="6" width="26.109375" customWidth="1"/>
    <col min="7" max="7" width="36.88671875" customWidth="1"/>
    <col min="8" max="8" width="29.88671875" customWidth="1"/>
    <col min="9" max="9" width="36.44140625" customWidth="1"/>
    <col min="10" max="10" width="27.5546875" customWidth="1"/>
    <col min="11" max="11" width="26.88671875" customWidth="1"/>
    <col min="12" max="12" width="14.44140625" customWidth="1"/>
    <col min="13" max="13" width="11.6640625" customWidth="1"/>
    <col min="14" max="14" width="18.33203125" customWidth="1"/>
    <col min="15" max="15" width="43.6640625" customWidth="1"/>
    <col min="16" max="16" width="22.109375" customWidth="1"/>
    <col min="17" max="17" width="24.109375" customWidth="1"/>
  </cols>
  <sheetData>
    <row r="1" spans="1:17" ht="21" x14ac:dyDescent="0.4">
      <c r="A1" s="66" t="s">
        <v>19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7" ht="21" x14ac:dyDescent="0.4">
      <c r="A2" s="2"/>
      <c r="B2" s="2"/>
      <c r="C2" s="2"/>
      <c r="D2" s="2"/>
      <c r="E2" s="2"/>
      <c r="F2" s="2"/>
      <c r="G2" s="2"/>
      <c r="H2" s="2"/>
      <c r="I2" s="2"/>
    </row>
    <row r="3" spans="1:17" ht="21" x14ac:dyDescent="0.4">
      <c r="A3" s="2"/>
      <c r="B3" s="2"/>
      <c r="C3" s="2"/>
      <c r="D3" s="2"/>
      <c r="E3" s="2"/>
      <c r="F3" s="2"/>
      <c r="G3" s="2"/>
      <c r="H3" s="2"/>
      <c r="I3" s="2"/>
    </row>
    <row r="4" spans="1:17" ht="21" x14ac:dyDescent="0.4">
      <c r="A4" s="2"/>
      <c r="B4" s="5" t="s">
        <v>10</v>
      </c>
      <c r="C4" s="5" t="s">
        <v>6</v>
      </c>
      <c r="D4" s="5" t="s">
        <v>142</v>
      </c>
      <c r="E4" s="5" t="s">
        <v>143</v>
      </c>
      <c r="F4" s="5" t="s">
        <v>232</v>
      </c>
      <c r="G4" s="5" t="s">
        <v>9</v>
      </c>
      <c r="H4" s="5" t="s">
        <v>193</v>
      </c>
      <c r="I4" s="5" t="s">
        <v>141</v>
      </c>
      <c r="J4" s="5" t="s">
        <v>20</v>
      </c>
      <c r="K4" s="5" t="s">
        <v>21</v>
      </c>
      <c r="L4" s="5" t="s">
        <v>12</v>
      </c>
    </row>
    <row r="5" spans="1:17" ht="45" customHeight="1" x14ac:dyDescent="0.4">
      <c r="A5" s="2"/>
      <c r="B5" s="5">
        <v>1</v>
      </c>
      <c r="C5" s="40" t="s">
        <v>22</v>
      </c>
      <c r="D5" s="6">
        <v>399340000</v>
      </c>
      <c r="E5" s="6">
        <v>39574399.920440003</v>
      </c>
      <c r="F5" s="6">
        <f t="shared" ref="F5:F11" si="0">(D5-E5)*1.75%</f>
        <v>6295898.0013923002</v>
      </c>
      <c r="G5" s="6">
        <v>238700000</v>
      </c>
      <c r="H5" s="6">
        <v>16115000</v>
      </c>
      <c r="I5" s="6"/>
      <c r="J5" s="6">
        <f>28000000+18000000</f>
        <v>46000000</v>
      </c>
      <c r="K5" s="7">
        <f>D5-E5-F5-G5-J5-H5</f>
        <v>52654702.078167677</v>
      </c>
      <c r="L5" s="7">
        <f t="shared" ref="L5:L10" si="1">K5/(D5-E5)*100</f>
        <v>14.635835684824622</v>
      </c>
    </row>
    <row r="6" spans="1:17" ht="45" customHeight="1" x14ac:dyDescent="0.4">
      <c r="A6" s="2"/>
      <c r="B6" s="5">
        <v>2</v>
      </c>
      <c r="C6" s="40" t="s">
        <v>23</v>
      </c>
      <c r="D6" s="6">
        <v>394714000</v>
      </c>
      <c r="E6" s="6">
        <v>39115889.841600001</v>
      </c>
      <c r="F6" s="6">
        <f t="shared" si="0"/>
        <v>6222966.9277720004</v>
      </c>
      <c r="G6" s="6">
        <v>201000000</v>
      </c>
      <c r="H6" s="6">
        <v>42122000</v>
      </c>
      <c r="I6" s="6">
        <f>27192800*0</f>
        <v>0</v>
      </c>
      <c r="J6" s="6">
        <f>28000000+18000000</f>
        <v>46000000</v>
      </c>
      <c r="K6" s="7">
        <f>D6-E6-F6-G6-J6-H6-I6</f>
        <v>60253143.230628014</v>
      </c>
      <c r="L6" s="7">
        <f t="shared" si="1"/>
        <v>16.944168573839846</v>
      </c>
    </row>
    <row r="7" spans="1:17" ht="45" customHeight="1" x14ac:dyDescent="0.4">
      <c r="A7" s="2"/>
      <c r="B7" s="5">
        <v>3</v>
      </c>
      <c r="C7" s="40" t="s">
        <v>80</v>
      </c>
      <c r="D7" s="6">
        <v>398400000</v>
      </c>
      <c r="E7" s="6">
        <f>D7-D7/1.11</f>
        <v>39481081.081081092</v>
      </c>
      <c r="F7" s="6">
        <f t="shared" si="0"/>
        <v>6281081.0810810812</v>
      </c>
      <c r="G7" s="6">
        <v>241000000</v>
      </c>
      <c r="H7" s="6"/>
      <c r="I7" s="6"/>
      <c r="J7" s="7">
        <v>46000000</v>
      </c>
      <c r="K7" s="7">
        <f>D7-E7-F7-G7-J7</f>
        <v>65637837.837837815</v>
      </c>
      <c r="L7" s="7">
        <f t="shared" si="1"/>
        <v>18.287650602409634</v>
      </c>
    </row>
    <row r="8" spans="1:17" ht="45" customHeight="1" x14ac:dyDescent="0.4">
      <c r="A8" s="2"/>
      <c r="B8" s="5">
        <v>4</v>
      </c>
      <c r="C8" s="40" t="s">
        <v>231</v>
      </c>
      <c r="D8" s="6">
        <v>199209480</v>
      </c>
      <c r="E8" s="6">
        <v>19741480</v>
      </c>
      <c r="F8" s="6">
        <f t="shared" si="0"/>
        <v>3140690.0000000005</v>
      </c>
      <c r="G8" s="6">
        <v>123634520</v>
      </c>
      <c r="H8" s="6"/>
      <c r="I8" s="6">
        <f>(D8-E8-F8)*1.5%</f>
        <v>2644909.65</v>
      </c>
      <c r="J8" s="7">
        <f>12000000+((D8-E8-F8)*2.5%)</f>
        <v>16408182.75</v>
      </c>
      <c r="K8" s="7">
        <f>D8-E8-F8-G8-I8-J8</f>
        <v>33639697.600000001</v>
      </c>
      <c r="L8" s="7">
        <f t="shared" si="1"/>
        <v>18.744120177413244</v>
      </c>
    </row>
    <row r="9" spans="1:17" ht="45" customHeight="1" x14ac:dyDescent="0.4">
      <c r="A9" s="2"/>
      <c r="B9" s="5">
        <v>5</v>
      </c>
      <c r="C9" s="39" t="s">
        <v>224</v>
      </c>
      <c r="D9" s="6">
        <v>49931000</v>
      </c>
      <c r="E9" s="6">
        <v>4948207</v>
      </c>
      <c r="F9" s="6">
        <f t="shared" si="0"/>
        <v>787198.87750000006</v>
      </c>
      <c r="G9" s="6">
        <f>8506000+18200688+1700000</f>
        <v>28406688</v>
      </c>
      <c r="H9" s="6"/>
      <c r="I9" s="6"/>
      <c r="J9" s="7">
        <v>4000000</v>
      </c>
      <c r="K9" s="7">
        <f>D9-E9-F9-G9-J9-H9</f>
        <v>11788906.122500002</v>
      </c>
      <c r="L9" s="7">
        <f t="shared" si="1"/>
        <v>26.20759036127437</v>
      </c>
    </row>
    <row r="10" spans="1:17" ht="45" customHeight="1" x14ac:dyDescent="0.4">
      <c r="A10" s="2"/>
      <c r="B10" s="5">
        <v>6</v>
      </c>
      <c r="C10" s="40" t="s">
        <v>275</v>
      </c>
      <c r="D10" s="6">
        <v>192561000</v>
      </c>
      <c r="E10" s="6">
        <f>D10-D10/1.11</f>
        <v>19082621.621621639</v>
      </c>
      <c r="F10" s="6">
        <f t="shared" si="0"/>
        <v>3035871.6216216218</v>
      </c>
      <c r="G10" s="6">
        <v>133745060</v>
      </c>
      <c r="H10" s="6"/>
      <c r="I10" s="6"/>
      <c r="J10" s="7">
        <f>(6000000*2)+((D10-E10-F10)*2.5%)</f>
        <v>16261062.668918919</v>
      </c>
      <c r="K10" s="7">
        <f>D10-E10-F10-G10-I10-J10</f>
        <v>20436384.087837834</v>
      </c>
      <c r="L10" s="7">
        <f t="shared" si="1"/>
        <v>11.78036380030224</v>
      </c>
    </row>
    <row r="11" spans="1:17" ht="45" customHeight="1" x14ac:dyDescent="0.4">
      <c r="A11" s="2"/>
      <c r="B11" s="5">
        <v>7</v>
      </c>
      <c r="C11" s="40" t="s">
        <v>381</v>
      </c>
      <c r="D11" s="6">
        <f>197097150+194621850</f>
        <v>391719000</v>
      </c>
      <c r="E11" s="6">
        <f>D11-D11/1.11</f>
        <v>38819000.00000006</v>
      </c>
      <c r="F11" s="6">
        <f t="shared" si="0"/>
        <v>6175750</v>
      </c>
      <c r="G11" s="6">
        <v>175000000</v>
      </c>
      <c r="H11" s="6"/>
      <c r="I11" s="6"/>
      <c r="J11" s="7">
        <v>46000000</v>
      </c>
      <c r="K11" s="7">
        <f>D11-E11-F11-G11-I11-J11</f>
        <v>125724249.99999994</v>
      </c>
      <c r="L11" s="7">
        <f t="shared" ref="L11" si="2">K11/(D11-E11)*100</f>
        <v>35.626027203173692</v>
      </c>
    </row>
    <row r="12" spans="1:17" ht="45" customHeight="1" x14ac:dyDescent="0.4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7">
        <v>0</v>
      </c>
    </row>
    <row r="13" spans="1:17" ht="21" x14ac:dyDescent="0.4">
      <c r="A13" s="2"/>
      <c r="B13" s="5"/>
      <c r="C13" s="18" t="s">
        <v>7</v>
      </c>
      <c r="D13" s="19">
        <f t="shared" ref="D13:K13" si="3">SUM(D5:D12)</f>
        <v>2025874480</v>
      </c>
      <c r="E13" s="19">
        <f t="shared" si="3"/>
        <v>200762679.46474281</v>
      </c>
      <c r="F13" s="19">
        <f t="shared" si="3"/>
        <v>31939456.509367004</v>
      </c>
      <c r="G13" s="19">
        <f t="shared" si="3"/>
        <v>1141486268</v>
      </c>
      <c r="H13" s="19">
        <f t="shared" si="3"/>
        <v>58237000</v>
      </c>
      <c r="I13" s="19">
        <f t="shared" si="3"/>
        <v>2644909.65</v>
      </c>
      <c r="J13" s="19">
        <f t="shared" si="3"/>
        <v>220669245.41891891</v>
      </c>
      <c r="K13" s="19">
        <f t="shared" si="3"/>
        <v>370134920.95697129</v>
      </c>
      <c r="L13" s="19">
        <f>K13/(D13-E13)*100</f>
        <v>20.280123160039867</v>
      </c>
    </row>
    <row r="14" spans="1:17" ht="21" x14ac:dyDescent="0.4">
      <c r="A14" s="2"/>
      <c r="B14" s="2"/>
      <c r="C14" s="2"/>
      <c r="D14" s="17"/>
      <c r="E14" s="17"/>
      <c r="F14" s="2"/>
      <c r="G14" s="2"/>
      <c r="H14" s="2"/>
      <c r="I14" s="17"/>
      <c r="K14" s="33"/>
    </row>
    <row r="15" spans="1:17" ht="21" x14ac:dyDescent="0.4">
      <c r="A15" s="2"/>
      <c r="B15" s="2"/>
      <c r="C15" s="2"/>
      <c r="D15" s="17"/>
      <c r="E15" s="17"/>
      <c r="F15" s="2"/>
      <c r="G15" s="2"/>
      <c r="H15" s="2"/>
      <c r="I15" s="17"/>
    </row>
    <row r="16" spans="1:17" ht="21" x14ac:dyDescent="0.4">
      <c r="A16" s="2"/>
      <c r="B16" s="2"/>
      <c r="C16" s="2"/>
      <c r="D16" s="2"/>
      <c r="E16" s="2"/>
      <c r="F16" s="2"/>
      <c r="G16" s="2"/>
      <c r="H16" s="2"/>
      <c r="I16" s="2"/>
      <c r="N16" s="53" t="s">
        <v>57</v>
      </c>
      <c r="O16" s="53"/>
      <c r="P16" s="53"/>
      <c r="Q16" s="53"/>
    </row>
    <row r="17" spans="1:17" ht="21" x14ac:dyDescent="0.4">
      <c r="A17" s="52" t="s">
        <v>0</v>
      </c>
      <c r="B17" s="52" t="s">
        <v>6</v>
      </c>
      <c r="C17" s="67" t="s">
        <v>4</v>
      </c>
      <c r="D17" s="67"/>
      <c r="E17" s="67" t="s">
        <v>55</v>
      </c>
      <c r="F17" s="67"/>
      <c r="G17" s="5" t="s">
        <v>53</v>
      </c>
      <c r="H17" s="2"/>
      <c r="N17" s="2"/>
      <c r="O17" s="23"/>
      <c r="P17" s="2"/>
      <c r="Q17" s="2"/>
    </row>
    <row r="18" spans="1:17" ht="18" x14ac:dyDescent="0.35">
      <c r="A18" s="52"/>
      <c r="B18" s="52"/>
      <c r="C18" s="8" t="s">
        <v>2</v>
      </c>
      <c r="D18" s="9" t="s">
        <v>3</v>
      </c>
      <c r="E18" s="8" t="s">
        <v>2</v>
      </c>
      <c r="F18" s="9" t="s">
        <v>3</v>
      </c>
      <c r="G18" s="6"/>
      <c r="H18" s="35"/>
      <c r="I18" s="1"/>
      <c r="M18" s="52" t="s">
        <v>10</v>
      </c>
      <c r="N18" s="52" t="s">
        <v>2</v>
      </c>
      <c r="O18" s="52" t="s">
        <v>6</v>
      </c>
      <c r="P18" s="56" t="s">
        <v>52</v>
      </c>
      <c r="Q18" s="57"/>
    </row>
    <row r="19" spans="1:17" ht="18" x14ac:dyDescent="0.35">
      <c r="A19" s="10">
        <v>1</v>
      </c>
      <c r="B19" s="24" t="s">
        <v>74</v>
      </c>
      <c r="C19" s="21"/>
      <c r="D19" s="6"/>
      <c r="E19" s="11">
        <v>46171</v>
      </c>
      <c r="F19" s="6">
        <v>50000000</v>
      </c>
      <c r="G19" s="6" t="s">
        <v>197</v>
      </c>
      <c r="H19" s="35"/>
      <c r="I19" s="1"/>
      <c r="M19" s="52"/>
      <c r="N19" s="52"/>
      <c r="O19" s="52"/>
      <c r="P19" s="9" t="s">
        <v>50</v>
      </c>
      <c r="Q19" s="9" t="s">
        <v>51</v>
      </c>
    </row>
    <row r="20" spans="1:17" ht="18" x14ac:dyDescent="0.35">
      <c r="A20" s="10">
        <f>A19+1</f>
        <v>2</v>
      </c>
      <c r="B20" s="24" t="s">
        <v>74</v>
      </c>
      <c r="C20" s="21"/>
      <c r="D20" s="6"/>
      <c r="E20" s="11">
        <v>46182</v>
      </c>
      <c r="F20" s="6">
        <v>20000000</v>
      </c>
      <c r="G20" s="6" t="s">
        <v>197</v>
      </c>
      <c r="H20" s="35"/>
      <c r="I20" s="1"/>
      <c r="M20" s="12"/>
      <c r="N20" s="11">
        <v>46201</v>
      </c>
      <c r="O20" s="24" t="s">
        <v>52</v>
      </c>
      <c r="P20" s="6">
        <v>5000000</v>
      </c>
      <c r="Q20" s="6"/>
    </row>
    <row r="21" spans="1:17" ht="18" x14ac:dyDescent="0.35">
      <c r="A21" s="10">
        <f>A20+1</f>
        <v>3</v>
      </c>
      <c r="B21" s="24" t="s">
        <v>75</v>
      </c>
      <c r="C21" s="21"/>
      <c r="D21" s="6"/>
      <c r="E21" s="11">
        <v>46190</v>
      </c>
      <c r="F21" s="6">
        <v>25000000</v>
      </c>
      <c r="G21" s="6" t="s">
        <v>197</v>
      </c>
      <c r="H21" s="35"/>
      <c r="I21" s="1"/>
      <c r="M21" s="12"/>
      <c r="N21" s="11">
        <v>46201</v>
      </c>
      <c r="O21" s="24" t="s">
        <v>59</v>
      </c>
      <c r="P21" s="6"/>
      <c r="Q21" s="6">
        <v>1669400</v>
      </c>
    </row>
    <row r="22" spans="1:17" ht="18" x14ac:dyDescent="0.35">
      <c r="A22" s="10">
        <f>A21+1</f>
        <v>4</v>
      </c>
      <c r="B22" s="24" t="s">
        <v>75</v>
      </c>
      <c r="C22" s="21"/>
      <c r="D22" s="6"/>
      <c r="E22" s="11">
        <v>46193</v>
      </c>
      <c r="F22" s="6">
        <v>38000000</v>
      </c>
      <c r="G22" s="6" t="s">
        <v>197</v>
      </c>
      <c r="H22" s="35"/>
      <c r="I22" s="1"/>
      <c r="M22" s="12"/>
      <c r="N22" s="11">
        <v>46203</v>
      </c>
      <c r="O22" s="24" t="s">
        <v>68</v>
      </c>
      <c r="P22" s="6"/>
      <c r="Q22" s="6">
        <v>119000</v>
      </c>
    </row>
    <row r="23" spans="1:17" ht="18" x14ac:dyDescent="0.35">
      <c r="A23" s="10">
        <f>A22+1</f>
        <v>5</v>
      </c>
      <c r="B23" s="24" t="s">
        <v>56</v>
      </c>
      <c r="C23" s="21"/>
      <c r="D23" s="6"/>
      <c r="E23" s="11">
        <v>46201</v>
      </c>
      <c r="F23" s="6">
        <v>5000000</v>
      </c>
      <c r="G23" s="6" t="s">
        <v>54</v>
      </c>
      <c r="H23" s="35"/>
      <c r="I23" s="1"/>
      <c r="M23" s="12"/>
      <c r="N23" s="11">
        <v>46203</v>
      </c>
      <c r="O23" s="24" t="s">
        <v>58</v>
      </c>
      <c r="P23" s="6"/>
      <c r="Q23" s="6">
        <v>60500</v>
      </c>
    </row>
    <row r="24" spans="1:17" ht="18" x14ac:dyDescent="0.35">
      <c r="A24" s="10">
        <f>A23+1</f>
        <v>6</v>
      </c>
      <c r="B24" s="24" t="s">
        <v>73</v>
      </c>
      <c r="C24" s="11"/>
      <c r="D24" s="6"/>
      <c r="E24" s="11">
        <v>46202</v>
      </c>
      <c r="F24" s="6">
        <v>20000000</v>
      </c>
      <c r="G24" s="6" t="s">
        <v>197</v>
      </c>
      <c r="H24" s="35"/>
      <c r="I24" s="1"/>
      <c r="M24" s="12"/>
      <c r="N24" s="11">
        <v>46203</v>
      </c>
      <c r="O24" s="24" t="s">
        <v>67</v>
      </c>
      <c r="P24" s="6"/>
      <c r="Q24" s="6">
        <v>112000</v>
      </c>
    </row>
    <row r="25" spans="1:17" ht="21" x14ac:dyDescent="0.4">
      <c r="A25" s="10">
        <v>7</v>
      </c>
      <c r="B25" s="24" t="s">
        <v>72</v>
      </c>
      <c r="C25" s="11">
        <v>46176</v>
      </c>
      <c r="D25" s="6">
        <v>211786156</v>
      </c>
      <c r="E25" s="11"/>
      <c r="F25" s="6"/>
      <c r="G25" s="19"/>
      <c r="H25" s="37"/>
      <c r="M25" s="12"/>
      <c r="N25" s="11">
        <v>46203</v>
      </c>
      <c r="O25" s="24" t="s">
        <v>60</v>
      </c>
      <c r="P25" s="6"/>
      <c r="Q25" s="6">
        <v>67000</v>
      </c>
    </row>
    <row r="26" spans="1:17" ht="18" x14ac:dyDescent="0.35">
      <c r="A26" s="10">
        <v>8</v>
      </c>
      <c r="B26" s="24" t="s">
        <v>73</v>
      </c>
      <c r="C26" s="11"/>
      <c r="D26" s="6"/>
      <c r="E26" s="11">
        <v>46180</v>
      </c>
      <c r="F26" s="6">
        <v>50000000</v>
      </c>
      <c r="G26" s="6" t="s">
        <v>197</v>
      </c>
      <c r="H26" s="35"/>
      <c r="M26" s="12"/>
      <c r="N26" s="11">
        <v>46203</v>
      </c>
      <c r="O26" s="24" t="s">
        <v>61</v>
      </c>
      <c r="P26" s="6"/>
      <c r="Q26" s="6">
        <v>265540</v>
      </c>
    </row>
    <row r="27" spans="1:17" ht="18" x14ac:dyDescent="0.35">
      <c r="A27" s="10">
        <v>9</v>
      </c>
      <c r="B27" s="24" t="s">
        <v>88</v>
      </c>
      <c r="C27" s="11"/>
      <c r="D27" s="6"/>
      <c r="E27" s="11">
        <v>46204</v>
      </c>
      <c r="F27" s="6">
        <v>2140000</v>
      </c>
      <c r="G27" s="6" t="s">
        <v>87</v>
      </c>
      <c r="H27" s="35"/>
      <c r="M27" s="12"/>
      <c r="N27" s="11">
        <v>46203</v>
      </c>
      <c r="O27" s="24" t="s">
        <v>62</v>
      </c>
      <c r="P27" s="6"/>
      <c r="Q27" s="6">
        <v>55999</v>
      </c>
    </row>
    <row r="28" spans="1:17" ht="18" x14ac:dyDescent="0.35">
      <c r="A28" s="10">
        <v>10</v>
      </c>
      <c r="B28" s="24" t="s">
        <v>86</v>
      </c>
      <c r="C28" s="11"/>
      <c r="D28" s="6"/>
      <c r="E28" s="11">
        <v>46214</v>
      </c>
      <c r="F28" s="6">
        <v>30000000</v>
      </c>
      <c r="G28" s="6" t="s">
        <v>198</v>
      </c>
      <c r="H28" s="35"/>
      <c r="M28" s="12"/>
      <c r="N28" s="11">
        <v>46203</v>
      </c>
      <c r="O28" s="24" t="s">
        <v>63</v>
      </c>
      <c r="P28" s="6"/>
      <c r="Q28" s="6">
        <v>50500</v>
      </c>
    </row>
    <row r="29" spans="1:17" ht="18" x14ac:dyDescent="0.35">
      <c r="A29" s="10">
        <v>11</v>
      </c>
      <c r="B29" s="24" t="s">
        <v>92</v>
      </c>
      <c r="C29" s="11">
        <v>46219</v>
      </c>
      <c r="D29" s="6">
        <v>139531958</v>
      </c>
      <c r="E29" s="11"/>
      <c r="F29" s="6"/>
      <c r="G29" s="6"/>
      <c r="H29" s="35"/>
      <c r="M29" s="12"/>
      <c r="N29" s="11">
        <v>46203</v>
      </c>
      <c r="O29" s="24" t="s">
        <v>64</v>
      </c>
      <c r="P29" s="6"/>
      <c r="Q29" s="6">
        <v>400000</v>
      </c>
    </row>
    <row r="30" spans="1:17" ht="18" x14ac:dyDescent="0.35">
      <c r="A30" s="10">
        <v>12</v>
      </c>
      <c r="B30" s="24" t="s">
        <v>86</v>
      </c>
      <c r="C30" s="11"/>
      <c r="D30" s="6"/>
      <c r="E30" s="11">
        <v>46223</v>
      </c>
      <c r="F30" s="6">
        <v>30000000</v>
      </c>
      <c r="G30" s="6" t="s">
        <v>198</v>
      </c>
      <c r="H30" s="35"/>
      <c r="M30" s="12"/>
      <c r="N30" s="11">
        <v>46203</v>
      </c>
      <c r="O30" s="24" t="s">
        <v>65</v>
      </c>
      <c r="P30" s="6"/>
      <c r="Q30" s="6">
        <v>159000</v>
      </c>
    </row>
    <row r="31" spans="1:17" ht="18" x14ac:dyDescent="0.35">
      <c r="A31" s="10">
        <v>13</v>
      </c>
      <c r="B31" s="24" t="s">
        <v>144</v>
      </c>
      <c r="C31" s="11"/>
      <c r="D31" s="6"/>
      <c r="E31" s="11">
        <v>46223</v>
      </c>
      <c r="F31" s="6">
        <v>38000000</v>
      </c>
      <c r="G31" s="6" t="s">
        <v>197</v>
      </c>
      <c r="H31" s="35"/>
      <c r="M31" s="12"/>
      <c r="N31" s="11">
        <v>46203</v>
      </c>
      <c r="O31" s="24" t="s">
        <v>66</v>
      </c>
      <c r="P31" s="6"/>
      <c r="Q31" s="6">
        <v>150000</v>
      </c>
    </row>
    <row r="32" spans="1:17" ht="18" x14ac:dyDescent="0.35">
      <c r="A32" s="10">
        <v>14</v>
      </c>
      <c r="B32" s="24" t="s">
        <v>144</v>
      </c>
      <c r="C32" s="11"/>
      <c r="D32" s="6"/>
      <c r="E32" s="11">
        <v>46229</v>
      </c>
      <c r="F32" s="6">
        <v>17000000</v>
      </c>
      <c r="G32" s="6" t="s">
        <v>197</v>
      </c>
      <c r="H32" s="35"/>
      <c r="M32" s="12"/>
      <c r="N32" s="11">
        <v>46203</v>
      </c>
      <c r="O32" s="24" t="s">
        <v>70</v>
      </c>
      <c r="P32" s="6"/>
      <c r="Q32" s="6">
        <v>104000</v>
      </c>
    </row>
    <row r="33" spans="1:17" ht="18" x14ac:dyDescent="0.35">
      <c r="A33" s="10">
        <v>15</v>
      </c>
      <c r="B33" s="24" t="s">
        <v>86</v>
      </c>
      <c r="C33" s="11"/>
      <c r="D33" s="6"/>
      <c r="E33" s="11">
        <v>46229</v>
      </c>
      <c r="F33" s="6">
        <v>12300000</v>
      </c>
      <c r="G33" s="6" t="s">
        <v>198</v>
      </c>
      <c r="H33" s="35"/>
      <c r="M33" s="12"/>
      <c r="N33" s="11">
        <v>46174</v>
      </c>
      <c r="O33" s="24" t="s">
        <v>65</v>
      </c>
      <c r="P33" s="6"/>
      <c r="Q33" s="6">
        <v>10900</v>
      </c>
    </row>
    <row r="34" spans="1:17" ht="21" x14ac:dyDescent="0.4">
      <c r="A34" s="10">
        <v>16</v>
      </c>
      <c r="B34" s="24" t="s">
        <v>113</v>
      </c>
      <c r="C34" s="11">
        <v>46232</v>
      </c>
      <c r="D34" s="6">
        <v>141190770</v>
      </c>
      <c r="E34" s="11"/>
      <c r="F34" s="6"/>
      <c r="G34" s="19"/>
      <c r="H34" s="37"/>
      <c r="M34" s="12"/>
      <c r="N34" s="11">
        <v>46174</v>
      </c>
      <c r="O34" s="24" t="s">
        <v>69</v>
      </c>
      <c r="P34" s="6"/>
      <c r="Q34" s="6">
        <v>1561400</v>
      </c>
    </row>
    <row r="35" spans="1:17" ht="21" x14ac:dyDescent="0.4">
      <c r="A35" s="10">
        <v>17</v>
      </c>
      <c r="B35" s="24" t="s">
        <v>115</v>
      </c>
      <c r="C35" s="11"/>
      <c r="D35" s="6"/>
      <c r="E35" s="11">
        <v>46232</v>
      </c>
      <c r="F35" s="6">
        <f>28000000+18000000</f>
        <v>46000000</v>
      </c>
      <c r="G35" s="32" t="s">
        <v>116</v>
      </c>
      <c r="H35" s="38"/>
      <c r="M35" s="12"/>
      <c r="N35" s="11">
        <v>46174</v>
      </c>
      <c r="O35" s="24" t="s">
        <v>62</v>
      </c>
      <c r="P35" s="6"/>
      <c r="Q35" s="6">
        <v>76000</v>
      </c>
    </row>
    <row r="36" spans="1:17" ht="18" x14ac:dyDescent="0.35">
      <c r="A36" s="10">
        <v>18</v>
      </c>
      <c r="B36" s="24" t="s">
        <v>88</v>
      </c>
      <c r="C36" s="11"/>
      <c r="D36" s="6"/>
      <c r="E36" s="11">
        <v>46235</v>
      </c>
      <c r="F36" s="6">
        <v>4000000</v>
      </c>
      <c r="G36" s="6" t="s">
        <v>87</v>
      </c>
      <c r="H36" s="35"/>
      <c r="M36" s="12"/>
      <c r="N36" s="11">
        <v>46174</v>
      </c>
      <c r="O36" s="24" t="s">
        <v>71</v>
      </c>
      <c r="P36" s="6"/>
      <c r="Q36" s="6">
        <v>130000</v>
      </c>
    </row>
    <row r="37" spans="1:17" ht="18" x14ac:dyDescent="0.35">
      <c r="A37" s="10">
        <v>19</v>
      </c>
      <c r="B37" s="24" t="s">
        <v>131</v>
      </c>
      <c r="C37" s="11"/>
      <c r="D37" s="6"/>
      <c r="E37" s="11">
        <v>46235</v>
      </c>
      <c r="F37" s="6">
        <v>25000000</v>
      </c>
      <c r="G37" s="6" t="s">
        <v>197</v>
      </c>
      <c r="H37" s="35"/>
      <c r="M37" s="12"/>
      <c r="N37" s="11"/>
      <c r="O37" s="24"/>
      <c r="P37" s="6"/>
      <c r="Q37" s="6"/>
    </row>
    <row r="38" spans="1:17" ht="18" x14ac:dyDescent="0.35">
      <c r="A38" s="10">
        <v>20</v>
      </c>
      <c r="B38" s="24" t="s">
        <v>139</v>
      </c>
      <c r="C38" s="11"/>
      <c r="D38" s="6"/>
      <c r="E38" s="11">
        <v>46237</v>
      </c>
      <c r="F38" s="6">
        <v>40000000</v>
      </c>
      <c r="G38" s="6" t="s">
        <v>199</v>
      </c>
      <c r="H38" s="35"/>
      <c r="M38" s="12"/>
      <c r="N38" s="12"/>
      <c r="O38" s="25"/>
      <c r="P38" s="6"/>
      <c r="Q38" s="12"/>
    </row>
    <row r="39" spans="1:17" ht="18" x14ac:dyDescent="0.35">
      <c r="A39" s="10">
        <v>21</v>
      </c>
      <c r="B39" s="24" t="s">
        <v>131</v>
      </c>
      <c r="C39" s="11"/>
      <c r="D39" s="6"/>
      <c r="E39" s="11">
        <v>46238</v>
      </c>
      <c r="F39" s="6">
        <v>26500000</v>
      </c>
      <c r="G39" s="6" t="s">
        <v>197</v>
      </c>
      <c r="H39" s="35"/>
      <c r="M39" s="12"/>
      <c r="N39" s="54" t="s">
        <v>1</v>
      </c>
      <c r="O39" s="54"/>
      <c r="P39" s="15">
        <f>SUM(P20:P38)</f>
        <v>5000000</v>
      </c>
      <c r="Q39" s="15">
        <f>SUM(Q20:Q38)</f>
        <v>4991239</v>
      </c>
    </row>
    <row r="40" spans="1:17" ht="18" x14ac:dyDescent="0.35">
      <c r="A40" s="10">
        <v>22</v>
      </c>
      <c r="B40" s="24" t="s">
        <v>195</v>
      </c>
      <c r="C40" s="11"/>
      <c r="D40" s="6"/>
      <c r="E40" s="11">
        <v>46247</v>
      </c>
      <c r="F40" s="6">
        <v>8506000</v>
      </c>
      <c r="G40" s="6" t="s">
        <v>196</v>
      </c>
      <c r="H40" s="35"/>
      <c r="M40" s="12"/>
      <c r="N40" s="54"/>
      <c r="O40" s="54"/>
      <c r="P40" s="15"/>
      <c r="Q40" s="15"/>
    </row>
    <row r="41" spans="1:17" ht="18" x14ac:dyDescent="0.35">
      <c r="A41" s="10">
        <v>23</v>
      </c>
      <c r="B41" s="24" t="s">
        <v>251</v>
      </c>
      <c r="C41" s="11">
        <v>46248</v>
      </c>
      <c r="D41" s="6">
        <v>139531958</v>
      </c>
      <c r="E41" s="11"/>
      <c r="F41" s="6"/>
      <c r="G41" s="6"/>
      <c r="H41" s="35"/>
      <c r="M41" s="12"/>
      <c r="N41" s="54" t="s">
        <v>46</v>
      </c>
      <c r="O41" s="54"/>
      <c r="P41" s="15">
        <f>P39-Q39</f>
        <v>8761</v>
      </c>
      <c r="Q41" s="15"/>
    </row>
    <row r="42" spans="1:17" ht="18" x14ac:dyDescent="0.35">
      <c r="A42" s="10">
        <v>24</v>
      </c>
      <c r="B42" s="24" t="s">
        <v>250</v>
      </c>
      <c r="C42" s="11">
        <v>46253</v>
      </c>
      <c r="D42" s="6">
        <v>69765980</v>
      </c>
      <c r="E42" s="11"/>
      <c r="F42" s="6"/>
      <c r="G42" s="6"/>
      <c r="H42" s="35"/>
    </row>
    <row r="43" spans="1:17" ht="21" x14ac:dyDescent="0.4">
      <c r="A43" s="10">
        <v>25</v>
      </c>
      <c r="B43" s="24" t="s">
        <v>211</v>
      </c>
      <c r="C43" s="11"/>
      <c r="D43" s="6"/>
      <c r="E43" s="11">
        <v>46253</v>
      </c>
      <c r="F43" s="6">
        <f>28000000+18000000</f>
        <v>46000000</v>
      </c>
      <c r="G43" s="32" t="s">
        <v>116</v>
      </c>
      <c r="H43" s="35"/>
    </row>
    <row r="44" spans="1:17" ht="18" x14ac:dyDescent="0.35">
      <c r="A44" s="10">
        <v>26</v>
      </c>
      <c r="B44" s="24" t="s">
        <v>226</v>
      </c>
      <c r="C44" s="11"/>
      <c r="D44" s="6"/>
      <c r="E44" s="11">
        <v>46255</v>
      </c>
      <c r="F44" s="6">
        <v>30000000</v>
      </c>
      <c r="G44" s="6" t="s">
        <v>197</v>
      </c>
      <c r="H44" s="35"/>
    </row>
    <row r="45" spans="1:17" ht="18" x14ac:dyDescent="0.35">
      <c r="A45" s="10">
        <v>27</v>
      </c>
      <c r="B45" s="24" t="s">
        <v>227</v>
      </c>
      <c r="C45" s="11"/>
      <c r="D45" s="6"/>
      <c r="E45" s="11">
        <v>46255</v>
      </c>
      <c r="F45" s="6">
        <v>50000000</v>
      </c>
      <c r="G45" s="6" t="s">
        <v>197</v>
      </c>
      <c r="H45" s="35"/>
    </row>
    <row r="46" spans="1:17" ht="18" x14ac:dyDescent="0.35">
      <c r="A46" s="10">
        <v>28</v>
      </c>
      <c r="B46" s="24" t="s">
        <v>228</v>
      </c>
      <c r="C46" s="11"/>
      <c r="D46" s="6"/>
      <c r="E46" s="11">
        <v>46255</v>
      </c>
      <c r="F46" s="6">
        <v>9100000</v>
      </c>
      <c r="G46" s="6" t="s">
        <v>229</v>
      </c>
      <c r="H46" s="35"/>
    </row>
    <row r="47" spans="1:17" ht="18" x14ac:dyDescent="0.35">
      <c r="A47" s="10">
        <v>29</v>
      </c>
      <c r="B47" s="24" t="s">
        <v>249</v>
      </c>
      <c r="C47" s="11"/>
      <c r="D47" s="6"/>
      <c r="E47" s="11">
        <v>46259</v>
      </c>
      <c r="F47" s="6">
        <v>40000000</v>
      </c>
      <c r="G47" s="6" t="s">
        <v>198</v>
      </c>
      <c r="H47" s="35"/>
    </row>
    <row r="48" spans="1:17" ht="18" x14ac:dyDescent="0.35">
      <c r="A48" s="10">
        <v>30</v>
      </c>
      <c r="B48" s="24" t="s">
        <v>253</v>
      </c>
      <c r="C48" s="11">
        <v>46265</v>
      </c>
      <c r="D48" s="6">
        <v>176169295</v>
      </c>
      <c r="E48" s="11"/>
      <c r="F48" s="6"/>
      <c r="G48" s="6"/>
      <c r="H48" s="35"/>
    </row>
    <row r="49" spans="1:9" ht="18" x14ac:dyDescent="0.35">
      <c r="A49" s="10">
        <v>31</v>
      </c>
      <c r="B49" s="24" t="s">
        <v>88</v>
      </c>
      <c r="C49" s="11"/>
      <c r="D49" s="6"/>
      <c r="E49" s="11">
        <v>46266</v>
      </c>
      <c r="F49" s="6">
        <v>4000000</v>
      </c>
      <c r="G49" s="6" t="s">
        <v>87</v>
      </c>
      <c r="H49" s="35"/>
    </row>
    <row r="50" spans="1:9" ht="18" x14ac:dyDescent="0.35">
      <c r="A50" s="10">
        <v>32</v>
      </c>
      <c r="B50" s="24" t="s">
        <v>281</v>
      </c>
      <c r="C50" s="11"/>
      <c r="D50" s="6"/>
      <c r="E50" s="11">
        <v>46270</v>
      </c>
      <c r="F50" s="6">
        <v>30000000</v>
      </c>
      <c r="G50" s="6" t="s">
        <v>199</v>
      </c>
      <c r="H50" s="35"/>
    </row>
    <row r="51" spans="1:9" ht="18" x14ac:dyDescent="0.35">
      <c r="A51" s="10">
        <v>33</v>
      </c>
      <c r="B51" s="24" t="s">
        <v>282</v>
      </c>
      <c r="C51" s="11"/>
      <c r="D51" s="6"/>
      <c r="E51" s="11">
        <v>46270</v>
      </c>
      <c r="F51" s="6">
        <v>50000000</v>
      </c>
      <c r="G51" s="6" t="s">
        <v>197</v>
      </c>
      <c r="H51" s="35"/>
      <c r="I51" s="33"/>
    </row>
    <row r="52" spans="1:9" ht="18" x14ac:dyDescent="0.35">
      <c r="A52" s="10">
        <v>34</v>
      </c>
      <c r="B52" s="24" t="s">
        <v>322</v>
      </c>
      <c r="C52" s="11"/>
      <c r="D52" s="6"/>
      <c r="E52" s="11">
        <v>46277</v>
      </c>
      <c r="F52" s="6">
        <v>10000000</v>
      </c>
      <c r="G52" s="6" t="s">
        <v>323</v>
      </c>
      <c r="H52" s="35"/>
    </row>
    <row r="53" spans="1:9" ht="18" x14ac:dyDescent="0.35">
      <c r="A53" s="10">
        <v>35</v>
      </c>
      <c r="B53" s="24" t="s">
        <v>324</v>
      </c>
      <c r="C53" s="11"/>
      <c r="D53" s="6"/>
      <c r="E53" s="11">
        <v>46277</v>
      </c>
      <c r="F53" s="6">
        <v>5000000</v>
      </c>
      <c r="G53" s="6" t="s">
        <v>229</v>
      </c>
      <c r="H53" s="35"/>
    </row>
    <row r="54" spans="1:9" ht="18" x14ac:dyDescent="0.35">
      <c r="A54" s="10">
        <v>36</v>
      </c>
      <c r="B54" s="24" t="s">
        <v>281</v>
      </c>
      <c r="C54" s="11"/>
      <c r="D54" s="6"/>
      <c r="E54" s="11">
        <v>46280</v>
      </c>
      <c r="F54" s="6">
        <v>10000000</v>
      </c>
      <c r="G54" s="6" t="s">
        <v>199</v>
      </c>
      <c r="H54" s="35"/>
    </row>
    <row r="55" spans="1:9" ht="21" x14ac:dyDescent="0.4">
      <c r="A55" s="10">
        <v>37</v>
      </c>
      <c r="B55" s="24" t="s">
        <v>224</v>
      </c>
      <c r="C55" s="11">
        <v>46283</v>
      </c>
      <c r="D55" s="6">
        <v>44195797</v>
      </c>
      <c r="E55" s="11"/>
      <c r="F55" s="6"/>
      <c r="G55" s="6"/>
      <c r="H55" s="37"/>
    </row>
    <row r="56" spans="1:9" ht="21" x14ac:dyDescent="0.4">
      <c r="A56" s="10">
        <v>38</v>
      </c>
      <c r="B56" s="24" t="s">
        <v>345</v>
      </c>
      <c r="C56" s="11"/>
      <c r="D56" s="6"/>
      <c r="E56" s="11">
        <v>46284</v>
      </c>
      <c r="F56" s="6">
        <v>20000000</v>
      </c>
      <c r="G56" s="6" t="s">
        <v>197</v>
      </c>
      <c r="H56" s="37"/>
    </row>
    <row r="57" spans="1:9" ht="21" x14ac:dyDescent="0.4">
      <c r="A57" s="10">
        <v>39</v>
      </c>
      <c r="B57" s="24" t="s">
        <v>349</v>
      </c>
      <c r="C57" s="11"/>
      <c r="D57" s="6"/>
      <c r="E57" s="11">
        <v>46284</v>
      </c>
      <c r="F57" s="6">
        <f>28000000+18000000</f>
        <v>46000000</v>
      </c>
      <c r="G57" s="32" t="s">
        <v>116</v>
      </c>
      <c r="H57" s="22"/>
    </row>
    <row r="58" spans="1:9" ht="21" x14ac:dyDescent="0.4">
      <c r="A58" s="10">
        <v>40</v>
      </c>
      <c r="B58" s="24" t="s">
        <v>350</v>
      </c>
      <c r="C58" s="11"/>
      <c r="D58" s="6"/>
      <c r="E58" s="11">
        <v>46284</v>
      </c>
      <c r="F58" s="6">
        <v>4000000</v>
      </c>
      <c r="G58" s="32" t="s">
        <v>116</v>
      </c>
      <c r="H58" s="22"/>
    </row>
    <row r="59" spans="1:9" ht="18" x14ac:dyDescent="0.35">
      <c r="A59" s="10">
        <v>41</v>
      </c>
      <c r="B59" s="24" t="s">
        <v>362</v>
      </c>
      <c r="C59" s="11"/>
      <c r="D59" s="6"/>
      <c r="E59" s="11">
        <v>46287</v>
      </c>
      <c r="F59" s="6">
        <v>4100688</v>
      </c>
      <c r="G59" s="6" t="s">
        <v>229</v>
      </c>
    </row>
    <row r="60" spans="1:9" ht="18" x14ac:dyDescent="0.35">
      <c r="A60" s="10">
        <v>42</v>
      </c>
      <c r="B60" s="24" t="s">
        <v>378</v>
      </c>
      <c r="C60" s="11"/>
      <c r="D60" s="6"/>
      <c r="E60" s="11">
        <v>46291</v>
      </c>
      <c r="F60" s="6">
        <v>7500000</v>
      </c>
      <c r="G60" s="6" t="s">
        <v>323</v>
      </c>
    </row>
    <row r="61" spans="1:9" ht="18" x14ac:dyDescent="0.35">
      <c r="A61" s="10">
        <v>43</v>
      </c>
      <c r="B61" s="24" t="s">
        <v>379</v>
      </c>
      <c r="C61" s="11"/>
      <c r="D61" s="6"/>
      <c r="E61" s="11">
        <v>46291</v>
      </c>
      <c r="F61" s="6">
        <v>9815000</v>
      </c>
      <c r="G61" s="6" t="s">
        <v>197</v>
      </c>
    </row>
    <row r="62" spans="1:9" ht="18" x14ac:dyDescent="0.35">
      <c r="A62" s="10">
        <v>44</v>
      </c>
      <c r="B62" s="24" t="s">
        <v>380</v>
      </c>
      <c r="C62" s="11"/>
      <c r="D62" s="6"/>
      <c r="E62" s="11">
        <v>46291</v>
      </c>
      <c r="F62" s="6">
        <v>20000000</v>
      </c>
      <c r="G62" s="6" t="s">
        <v>198</v>
      </c>
    </row>
    <row r="63" spans="1:9" ht="26.25" customHeight="1" x14ac:dyDescent="0.35">
      <c r="A63" s="10">
        <v>45</v>
      </c>
      <c r="B63" s="24" t="s">
        <v>281</v>
      </c>
      <c r="C63" s="11"/>
      <c r="D63" s="6"/>
      <c r="E63" s="11">
        <v>46291</v>
      </c>
      <c r="F63" s="6">
        <v>20000000</v>
      </c>
      <c r="G63" s="6" t="s">
        <v>199</v>
      </c>
    </row>
    <row r="64" spans="1:9" ht="29.25" customHeight="1" x14ac:dyDescent="0.35">
      <c r="A64" s="10">
        <v>46</v>
      </c>
      <c r="B64" s="24" t="s">
        <v>282</v>
      </c>
      <c r="C64" s="11"/>
      <c r="D64" s="6"/>
      <c r="E64" s="11">
        <v>46298</v>
      </c>
      <c r="F64" s="6">
        <v>1000000</v>
      </c>
      <c r="G64" s="6" t="s">
        <v>197</v>
      </c>
    </row>
    <row r="65" spans="1:7" ht="29.25" customHeight="1" x14ac:dyDescent="0.35">
      <c r="A65" s="10">
        <v>47</v>
      </c>
      <c r="B65" s="24" t="s">
        <v>322</v>
      </c>
      <c r="C65" s="11"/>
      <c r="D65" s="6"/>
      <c r="E65" s="11">
        <v>46298</v>
      </c>
      <c r="F65" s="6">
        <v>12000000</v>
      </c>
      <c r="G65" s="6" t="s">
        <v>323</v>
      </c>
    </row>
    <row r="66" spans="1:7" ht="29.25" customHeight="1" x14ac:dyDescent="0.35">
      <c r="A66" s="10">
        <v>48</v>
      </c>
      <c r="B66" s="24" t="s">
        <v>380</v>
      </c>
      <c r="C66" s="11"/>
      <c r="D66" s="6"/>
      <c r="E66" s="11">
        <v>46298</v>
      </c>
      <c r="F66" s="6">
        <v>5000000</v>
      </c>
      <c r="G66" s="6" t="s">
        <v>198</v>
      </c>
    </row>
    <row r="67" spans="1:7" ht="27.75" customHeight="1" x14ac:dyDescent="0.35">
      <c r="A67" s="10">
        <v>49</v>
      </c>
      <c r="B67" s="24" t="s">
        <v>281</v>
      </c>
      <c r="C67" s="11"/>
      <c r="D67" s="6"/>
      <c r="E67" s="11">
        <v>46298</v>
      </c>
      <c r="F67" s="6">
        <v>20000000</v>
      </c>
      <c r="G67" s="6" t="s">
        <v>199</v>
      </c>
    </row>
    <row r="68" spans="1:7" ht="29.25" customHeight="1" x14ac:dyDescent="0.35">
      <c r="A68" s="10">
        <v>50</v>
      </c>
      <c r="B68" s="24" t="s">
        <v>400</v>
      </c>
      <c r="C68" s="11">
        <v>46302</v>
      </c>
      <c r="D68" s="6">
        <v>176000000</v>
      </c>
      <c r="E68" s="11"/>
      <c r="F68" s="6"/>
      <c r="G68" s="6"/>
    </row>
    <row r="69" spans="1:7" ht="18" x14ac:dyDescent="0.35">
      <c r="A69" s="10"/>
      <c r="B69" s="24" t="s">
        <v>282</v>
      </c>
      <c r="C69" s="11"/>
      <c r="D69" s="6"/>
      <c r="E69" s="11">
        <v>46302</v>
      </c>
      <c r="F69" s="6">
        <v>5000000</v>
      </c>
      <c r="G69" s="6" t="s">
        <v>197</v>
      </c>
    </row>
    <row r="70" spans="1:7" ht="18" x14ac:dyDescent="0.35">
      <c r="A70" s="10"/>
      <c r="B70" s="24" t="s">
        <v>322</v>
      </c>
      <c r="C70" s="11"/>
      <c r="D70" s="6"/>
      <c r="E70" s="11">
        <v>46306</v>
      </c>
      <c r="F70" s="6">
        <v>20000000</v>
      </c>
      <c r="G70" s="6" t="s">
        <v>323</v>
      </c>
    </row>
    <row r="71" spans="1:7" ht="18" x14ac:dyDescent="0.35">
      <c r="A71" s="10"/>
      <c r="B71" s="24" t="s">
        <v>281</v>
      </c>
      <c r="C71" s="11"/>
      <c r="D71" s="6"/>
      <c r="E71" s="11">
        <v>46306</v>
      </c>
      <c r="F71" s="6">
        <v>40000000</v>
      </c>
      <c r="G71" s="6" t="s">
        <v>199</v>
      </c>
    </row>
    <row r="72" spans="1:7" ht="18" x14ac:dyDescent="0.35">
      <c r="A72" s="10"/>
      <c r="B72" s="24" t="s">
        <v>282</v>
      </c>
      <c r="C72" s="11"/>
      <c r="D72" s="6"/>
      <c r="E72" s="11">
        <v>46306</v>
      </c>
      <c r="F72" s="6">
        <v>10000000</v>
      </c>
      <c r="G72" s="6" t="s">
        <v>197</v>
      </c>
    </row>
    <row r="73" spans="1:7" ht="18" x14ac:dyDescent="0.35">
      <c r="A73" s="10"/>
      <c r="B73" s="24"/>
      <c r="C73" s="11"/>
      <c r="D73" s="6"/>
      <c r="E73" s="11"/>
      <c r="F73" s="6"/>
      <c r="G73" s="6"/>
    </row>
    <row r="74" spans="1:7" ht="18" x14ac:dyDescent="0.35">
      <c r="A74" s="10"/>
      <c r="B74" s="24" t="s">
        <v>272</v>
      </c>
      <c r="C74" s="11"/>
      <c r="D74" s="6"/>
      <c r="E74" s="11"/>
      <c r="F74" s="6">
        <f>CIH!N40</f>
        <v>2185600</v>
      </c>
      <c r="G74" s="6"/>
    </row>
    <row r="75" spans="1:7" ht="21" x14ac:dyDescent="0.4">
      <c r="A75" s="12"/>
      <c r="B75" s="13"/>
      <c r="C75" s="12"/>
      <c r="D75" s="6"/>
      <c r="E75" s="14"/>
      <c r="F75" s="12"/>
      <c r="G75" s="19"/>
    </row>
    <row r="76" spans="1:7" ht="18" x14ac:dyDescent="0.35">
      <c r="A76" s="54" t="s">
        <v>1</v>
      </c>
      <c r="B76" s="54"/>
      <c r="C76" s="12"/>
      <c r="D76" s="15">
        <f>SUM(D19:D75)</f>
        <v>1098171914</v>
      </c>
      <c r="E76" s="16"/>
      <c r="F76" s="15">
        <f>SUM(F19:F75)</f>
        <v>1018147288</v>
      </c>
      <c r="G76" s="22"/>
    </row>
    <row r="77" spans="1:7" x14ac:dyDescent="0.3">
      <c r="B77" s="4"/>
      <c r="E77" s="3"/>
    </row>
    <row r="78" spans="1:7" x14ac:dyDescent="0.3">
      <c r="B78" s="4"/>
      <c r="E78" s="3"/>
    </row>
    <row r="80" spans="1:7" ht="23.4" x14ac:dyDescent="0.45">
      <c r="B80" s="36" t="s">
        <v>214</v>
      </c>
    </row>
    <row r="81" spans="1:7" x14ac:dyDescent="0.3">
      <c r="A81" s="52" t="s">
        <v>0</v>
      </c>
      <c r="B81" s="52" t="s">
        <v>6</v>
      </c>
      <c r="C81" s="52" t="s">
        <v>215</v>
      </c>
      <c r="D81" s="52" t="s">
        <v>216</v>
      </c>
      <c r="E81" s="52" t="s">
        <v>17</v>
      </c>
      <c r="F81" s="52" t="s">
        <v>319</v>
      </c>
      <c r="G81" s="52" t="s">
        <v>320</v>
      </c>
    </row>
    <row r="82" spans="1:7" x14ac:dyDescent="0.3">
      <c r="A82" s="52"/>
      <c r="B82" s="52"/>
      <c r="C82" s="52"/>
      <c r="D82" s="52"/>
      <c r="E82" s="52"/>
      <c r="F82" s="52"/>
      <c r="G82" s="52"/>
    </row>
    <row r="83" spans="1:7" ht="24.9" customHeight="1" x14ac:dyDescent="0.35">
      <c r="A83" s="10">
        <v>1</v>
      </c>
      <c r="B83" s="24" t="s">
        <v>217</v>
      </c>
      <c r="C83" s="24" t="s">
        <v>221</v>
      </c>
      <c r="D83" s="6">
        <f>F19+F20+F24+F26+F31+F32+F44+F56+F61</f>
        <v>254815000</v>
      </c>
      <c r="E83" s="6">
        <f>G5+H5-D83</f>
        <v>0</v>
      </c>
      <c r="F83" s="9" t="s">
        <v>318</v>
      </c>
      <c r="G83" s="9">
        <v>1410646397</v>
      </c>
    </row>
    <row r="84" spans="1:7" ht="24.9" customHeight="1" x14ac:dyDescent="0.35">
      <c r="A84" s="10">
        <f>A83+1</f>
        <v>2</v>
      </c>
      <c r="B84" s="24" t="s">
        <v>218</v>
      </c>
      <c r="C84" s="24" t="s">
        <v>221</v>
      </c>
      <c r="D84" s="6">
        <f>F21+F22+F37+F39+F45+F51+F64+F69+F72</f>
        <v>230500000</v>
      </c>
      <c r="E84" s="6">
        <f>G6+H6-D84</f>
        <v>12622000</v>
      </c>
      <c r="F84" s="9" t="s">
        <v>318</v>
      </c>
      <c r="G84" s="9">
        <v>1410646397</v>
      </c>
    </row>
    <row r="85" spans="1:7" ht="24.9" customHeight="1" x14ac:dyDescent="0.35">
      <c r="A85" s="10">
        <f>A84+1</f>
        <v>3</v>
      </c>
      <c r="B85" s="24" t="s">
        <v>219</v>
      </c>
      <c r="C85" s="24" t="s">
        <v>222</v>
      </c>
      <c r="D85" s="6">
        <f>F28+F30+F33+F47+F62+F66</f>
        <v>137300000</v>
      </c>
      <c r="E85" s="6">
        <f>G7+H7-D85</f>
        <v>103700000</v>
      </c>
      <c r="F85" s="9" t="s">
        <v>318</v>
      </c>
      <c r="G85" s="9">
        <v>1840253453</v>
      </c>
    </row>
    <row r="86" spans="1:7" ht="24.9" customHeight="1" x14ac:dyDescent="0.35">
      <c r="A86" s="10">
        <f>A85+1</f>
        <v>4</v>
      </c>
      <c r="B86" s="24" t="s">
        <v>220</v>
      </c>
      <c r="C86" s="24" t="s">
        <v>223</v>
      </c>
      <c r="D86" s="6">
        <f>F38+F50+F54+F63+F67+F71</f>
        <v>160000000</v>
      </c>
      <c r="E86" s="6">
        <f>G8+H8+G10+H10-D86</f>
        <v>97379580</v>
      </c>
      <c r="F86" s="9" t="s">
        <v>318</v>
      </c>
      <c r="G86" s="43" t="s">
        <v>321</v>
      </c>
    </row>
    <row r="87" spans="1:7" ht="24.9" customHeight="1" x14ac:dyDescent="0.35">
      <c r="A87" s="10">
        <f>A86+1</f>
        <v>5</v>
      </c>
      <c r="B87" s="24" t="s">
        <v>233</v>
      </c>
      <c r="C87" s="24" t="s">
        <v>230</v>
      </c>
      <c r="D87" s="6">
        <f>F40+F46+F53+F59</f>
        <v>26706688</v>
      </c>
      <c r="E87" s="6">
        <f>G9+H9-D87</f>
        <v>1700000</v>
      </c>
      <c r="F87" s="24"/>
      <c r="G87" s="24"/>
    </row>
    <row r="88" spans="1:7" ht="24.9" customHeight="1" x14ac:dyDescent="0.35">
      <c r="A88" s="10">
        <f>A87+1</f>
        <v>6</v>
      </c>
      <c r="B88" s="24" t="s">
        <v>343</v>
      </c>
      <c r="C88" s="24" t="s">
        <v>344</v>
      </c>
      <c r="D88" s="6">
        <f>F52+F60+F65+F70</f>
        <v>49500000</v>
      </c>
      <c r="E88" s="6">
        <f>G11+H11-D88</f>
        <v>125500000</v>
      </c>
      <c r="F88" s="24"/>
      <c r="G88" s="24"/>
    </row>
  </sheetData>
  <mergeCells count="21">
    <mergeCell ref="N40:O40"/>
    <mergeCell ref="N41:O41"/>
    <mergeCell ref="M18:M19"/>
    <mergeCell ref="N16:Q16"/>
    <mergeCell ref="N18:N19"/>
    <mergeCell ref="O18:O19"/>
    <mergeCell ref="P18:Q18"/>
    <mergeCell ref="N39:O39"/>
    <mergeCell ref="F81:F82"/>
    <mergeCell ref="G81:G82"/>
    <mergeCell ref="A1:K1"/>
    <mergeCell ref="A76:B76"/>
    <mergeCell ref="A17:A18"/>
    <mergeCell ref="B17:B18"/>
    <mergeCell ref="C17:D17"/>
    <mergeCell ref="E17:F17"/>
    <mergeCell ref="A81:A82"/>
    <mergeCell ref="B81:B82"/>
    <mergeCell ref="C81:C82"/>
    <mergeCell ref="D81:D82"/>
    <mergeCell ref="E81:E8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E53C-4132-4505-B587-33EDB89E9BF2}">
  <sheetPr>
    <tabColor rgb="FF9BFF21"/>
  </sheetPr>
  <dimension ref="A1:H23"/>
  <sheetViews>
    <sheetView topLeftCell="A10" workbookViewId="0">
      <selection activeCell="H16" sqref="H16"/>
    </sheetView>
  </sheetViews>
  <sheetFormatPr defaultRowHeight="14.4" x14ac:dyDescent="0.3"/>
  <cols>
    <col min="1" max="1" width="6" customWidth="1"/>
    <col min="2" max="2" width="15.8867187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14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20000000</v>
      </c>
      <c r="E5" s="6">
        <v>17500000</v>
      </c>
      <c r="F5" s="6">
        <v>1250000</v>
      </c>
      <c r="G5" s="7">
        <f>D5-E5-F5</f>
        <v>1250000</v>
      </c>
      <c r="H5" s="7">
        <f>G5/D5*100</f>
        <v>6.25</v>
      </c>
    </row>
    <row r="6" spans="1:8" ht="21" x14ac:dyDescent="0.4">
      <c r="A6" s="2"/>
      <c r="B6" s="5"/>
      <c r="C6" s="5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20000000</v>
      </c>
      <c r="E9" s="19">
        <f>SUM(E5:E8)</f>
        <v>17500000</v>
      </c>
      <c r="F9" s="19">
        <f>SUM(F5:F8)</f>
        <v>1250000</v>
      </c>
      <c r="G9" s="19">
        <f>SUM(G5:G8)</f>
        <v>1250000</v>
      </c>
      <c r="H9" s="19">
        <f>SUM(H5:H8)</f>
        <v>6.25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46153</v>
      </c>
      <c r="D14" s="6">
        <v>10000000</v>
      </c>
      <c r="E14" s="11">
        <v>46153</v>
      </c>
      <c r="F14" s="6">
        <v>7500000</v>
      </c>
      <c r="G14" s="1"/>
    </row>
    <row r="15" spans="1:8" ht="18" x14ac:dyDescent="0.35">
      <c r="A15" s="10">
        <f>A14+1</f>
        <v>2</v>
      </c>
      <c r="B15" s="9" t="s">
        <v>16</v>
      </c>
      <c r="C15" s="21">
        <v>46172</v>
      </c>
      <c r="D15" s="6">
        <v>8000000</v>
      </c>
      <c r="E15" s="11"/>
      <c r="F15" s="6"/>
      <c r="G15" s="1"/>
    </row>
    <row r="16" spans="1:8" ht="18" x14ac:dyDescent="0.35">
      <c r="A16" s="10">
        <f>A15+1</f>
        <v>3</v>
      </c>
      <c r="B16" s="9" t="s">
        <v>35</v>
      </c>
      <c r="C16" s="21"/>
      <c r="D16" s="6"/>
      <c r="E16" s="11">
        <v>46173</v>
      </c>
      <c r="F16" s="6">
        <v>8000000</v>
      </c>
      <c r="G16" s="1"/>
    </row>
    <row r="17" spans="1:7" ht="18" x14ac:dyDescent="0.35">
      <c r="A17" s="10">
        <f>A16+1</f>
        <v>4</v>
      </c>
      <c r="B17" s="9" t="s">
        <v>238</v>
      </c>
      <c r="C17" s="21">
        <v>46225</v>
      </c>
      <c r="D17" s="6">
        <v>2000000</v>
      </c>
      <c r="E17" s="11"/>
      <c r="F17" s="6"/>
      <c r="G17" s="1"/>
    </row>
    <row r="18" spans="1:7" ht="18" x14ac:dyDescent="0.35">
      <c r="A18" s="10">
        <f>A17+1</f>
        <v>5</v>
      </c>
      <c r="B18" s="9" t="s">
        <v>13</v>
      </c>
      <c r="C18" s="21"/>
      <c r="D18" s="6"/>
      <c r="E18" s="11">
        <v>46225</v>
      </c>
      <c r="F18" s="6">
        <v>1250000</v>
      </c>
      <c r="G18" s="1"/>
    </row>
    <row r="19" spans="1:7" ht="18" x14ac:dyDescent="0.35">
      <c r="A19" s="10"/>
      <c r="B19" s="9" t="s">
        <v>140</v>
      </c>
      <c r="C19" s="11"/>
      <c r="D19" s="6"/>
      <c r="E19" s="11">
        <v>46233</v>
      </c>
      <c r="F19" s="6">
        <v>2000000</v>
      </c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20000000</v>
      </c>
      <c r="E22" s="16"/>
      <c r="F22" s="15">
        <f>SUM(F14:F21)</f>
        <v>18750000</v>
      </c>
    </row>
    <row r="23" spans="1:7" ht="18" x14ac:dyDescent="0.35">
      <c r="A23" s="54" t="s">
        <v>17</v>
      </c>
      <c r="B23" s="54"/>
      <c r="C23" s="12"/>
      <c r="D23" s="15">
        <f>D5-D22</f>
        <v>0</v>
      </c>
      <c r="E23" s="16"/>
      <c r="F23" s="15">
        <f>E9+F9-F22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F4C6-167E-41C2-AD2B-2DA8931722F7}">
  <dimension ref="A1:H32"/>
  <sheetViews>
    <sheetView topLeftCell="A21" workbookViewId="0">
      <selection sqref="A1:I37"/>
    </sheetView>
  </sheetViews>
  <sheetFormatPr defaultRowHeight="14.4" x14ac:dyDescent="0.3"/>
  <cols>
    <col min="1" max="1" width="6" customWidth="1"/>
    <col min="2" max="2" width="25" customWidth="1"/>
    <col min="3" max="4" width="24.6640625" customWidth="1"/>
    <col min="5" max="5" width="24.109375" customWidth="1"/>
    <col min="6" max="6" width="22.109375" customWidth="1"/>
    <col min="7" max="7" width="30.33203125" customWidth="1"/>
    <col min="8" max="8" width="22.44140625" customWidth="1"/>
  </cols>
  <sheetData>
    <row r="1" spans="1:8" ht="21" x14ac:dyDescent="0.4">
      <c r="A1" s="66" t="s">
        <v>24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777000000</v>
      </c>
      <c r="E5" s="6">
        <v>630000000</v>
      </c>
      <c r="F5" s="6"/>
      <c r="G5" s="7">
        <f>D5-E5-F5</f>
        <v>147000000</v>
      </c>
      <c r="H5" s="7">
        <f>G5/D5*100</f>
        <v>18.918918918918919</v>
      </c>
    </row>
    <row r="6" spans="1:8" ht="21" x14ac:dyDescent="0.4">
      <c r="A6" s="2"/>
      <c r="B6" s="5"/>
      <c r="C6" s="5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777000000</v>
      </c>
      <c r="E9" s="19">
        <f>SUM(E5:E8)</f>
        <v>630000000</v>
      </c>
      <c r="F9" s="18"/>
      <c r="G9" s="19">
        <f>SUM(G5:G8)</f>
        <v>147000000</v>
      </c>
      <c r="H9" s="19">
        <f>SUM(H5:H8)</f>
        <v>18.918918918918919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4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  <c r="G12" s="68" t="s">
        <v>53</v>
      </c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69"/>
    </row>
    <row r="14" spans="1:8" ht="18" x14ac:dyDescent="0.35">
      <c r="A14" s="10">
        <v>1</v>
      </c>
      <c r="B14" s="9" t="s">
        <v>15</v>
      </c>
      <c r="C14" s="21">
        <v>46165</v>
      </c>
      <c r="D14" s="6">
        <v>77000000</v>
      </c>
      <c r="E14" s="11"/>
      <c r="F14" s="6"/>
      <c r="G14" s="10"/>
    </row>
    <row r="15" spans="1:8" ht="18" x14ac:dyDescent="0.35">
      <c r="A15" s="10">
        <f t="shared" ref="A15:A22" si="0">A14+1</f>
        <v>2</v>
      </c>
      <c r="B15" s="9" t="s">
        <v>16</v>
      </c>
      <c r="C15" s="21">
        <v>46189</v>
      </c>
      <c r="D15" s="6">
        <v>50000000</v>
      </c>
      <c r="E15" s="11"/>
      <c r="F15" s="6"/>
      <c r="G15" s="10"/>
    </row>
    <row r="16" spans="1:8" ht="18" x14ac:dyDescent="0.35">
      <c r="A16" s="10">
        <f t="shared" si="0"/>
        <v>3</v>
      </c>
      <c r="B16" s="9" t="s">
        <v>16</v>
      </c>
      <c r="C16" s="21">
        <v>46190</v>
      </c>
      <c r="D16" s="6">
        <v>100000000</v>
      </c>
      <c r="E16" s="11"/>
      <c r="F16" s="6"/>
      <c r="G16" s="10"/>
    </row>
    <row r="17" spans="1:8" ht="18" x14ac:dyDescent="0.35">
      <c r="A17" s="10">
        <f t="shared" si="0"/>
        <v>4</v>
      </c>
      <c r="B17" s="9" t="s">
        <v>16</v>
      </c>
      <c r="C17" s="21">
        <v>46202</v>
      </c>
      <c r="D17" s="6">
        <v>44250000</v>
      </c>
      <c r="E17" s="11"/>
      <c r="F17" s="6"/>
      <c r="G17" s="10"/>
    </row>
    <row r="18" spans="1:8" ht="18" x14ac:dyDescent="0.35">
      <c r="A18" s="10">
        <f t="shared" si="0"/>
        <v>5</v>
      </c>
      <c r="B18" s="9" t="s">
        <v>81</v>
      </c>
      <c r="C18" s="11"/>
      <c r="D18" s="6"/>
      <c r="E18" s="11">
        <v>46211</v>
      </c>
      <c r="F18" s="6">
        <v>15000000</v>
      </c>
      <c r="G18" s="10"/>
    </row>
    <row r="19" spans="1:8" ht="18" x14ac:dyDescent="0.35">
      <c r="A19" s="10">
        <f t="shared" si="0"/>
        <v>6</v>
      </c>
      <c r="B19" s="9" t="s">
        <v>81</v>
      </c>
      <c r="C19" s="11"/>
      <c r="D19" s="6"/>
      <c r="E19" s="11">
        <v>46228</v>
      </c>
      <c r="F19" s="6">
        <v>40000000</v>
      </c>
      <c r="G19" s="10"/>
      <c r="H19" s="35"/>
    </row>
    <row r="20" spans="1:8" ht="18" x14ac:dyDescent="0.35">
      <c r="A20" s="10">
        <f t="shared" si="0"/>
        <v>7</v>
      </c>
      <c r="B20" s="9" t="s">
        <v>397</v>
      </c>
      <c r="C20" s="11"/>
      <c r="D20" s="6"/>
      <c r="E20" s="11">
        <v>46235</v>
      </c>
      <c r="F20" s="6">
        <v>4000000</v>
      </c>
      <c r="G20" s="10" t="s">
        <v>252</v>
      </c>
      <c r="H20" s="35"/>
    </row>
    <row r="21" spans="1:8" ht="18" x14ac:dyDescent="0.35">
      <c r="A21" s="10">
        <f t="shared" si="0"/>
        <v>8</v>
      </c>
      <c r="B21" s="9" t="s">
        <v>81</v>
      </c>
      <c r="C21" s="11"/>
      <c r="D21" s="6"/>
      <c r="E21" s="11">
        <v>46265</v>
      </c>
      <c r="F21" s="6">
        <v>24112000</v>
      </c>
      <c r="G21" s="10" t="s">
        <v>314</v>
      </c>
      <c r="H21" s="35"/>
    </row>
    <row r="22" spans="1:8" ht="18" x14ac:dyDescent="0.35">
      <c r="A22" s="10">
        <f t="shared" si="0"/>
        <v>9</v>
      </c>
      <c r="B22" s="9" t="s">
        <v>397</v>
      </c>
      <c r="C22" s="11"/>
      <c r="D22" s="6"/>
      <c r="E22" s="11">
        <v>46266</v>
      </c>
      <c r="F22" s="6">
        <v>4000000</v>
      </c>
      <c r="G22" s="10" t="s">
        <v>252</v>
      </c>
    </row>
    <row r="23" spans="1:8" ht="18" x14ac:dyDescent="0.35">
      <c r="A23" s="10">
        <v>10</v>
      </c>
      <c r="B23" s="9" t="s">
        <v>375</v>
      </c>
      <c r="C23" s="11">
        <v>46291</v>
      </c>
      <c r="D23" s="6">
        <f>50000000+50000000</f>
        <v>100000000</v>
      </c>
      <c r="E23" s="11"/>
      <c r="F23" s="6"/>
      <c r="G23" s="10"/>
    </row>
    <row r="24" spans="1:8" ht="18" x14ac:dyDescent="0.35">
      <c r="A24" s="10"/>
      <c r="B24" s="9" t="s">
        <v>397</v>
      </c>
      <c r="C24" s="11"/>
      <c r="D24" s="6"/>
      <c r="E24" s="11">
        <v>46296</v>
      </c>
      <c r="F24" s="6">
        <v>4000000</v>
      </c>
      <c r="G24" s="10" t="s">
        <v>252</v>
      </c>
    </row>
    <row r="25" spans="1:8" ht="18" x14ac:dyDescent="0.35">
      <c r="A25" s="10"/>
      <c r="B25" s="9"/>
      <c r="C25" s="11"/>
      <c r="D25" s="6"/>
      <c r="E25" s="11"/>
      <c r="F25" s="6"/>
      <c r="G25" s="10"/>
    </row>
    <row r="26" spans="1:8" ht="18" x14ac:dyDescent="0.35">
      <c r="A26" s="10"/>
      <c r="B26" s="9"/>
      <c r="C26" s="11"/>
      <c r="D26" s="6"/>
      <c r="E26" s="11"/>
      <c r="F26" s="6"/>
      <c r="G26" s="10"/>
    </row>
    <row r="27" spans="1:8" ht="18" x14ac:dyDescent="0.35">
      <c r="A27" s="10"/>
      <c r="B27" s="9"/>
      <c r="C27" s="11"/>
      <c r="D27" s="6"/>
      <c r="E27" s="11"/>
      <c r="F27" s="6"/>
      <c r="G27" s="10"/>
    </row>
    <row r="28" spans="1:8" ht="18" x14ac:dyDescent="0.35">
      <c r="A28" s="10"/>
      <c r="B28" s="9"/>
      <c r="C28" s="11"/>
      <c r="D28" s="6"/>
      <c r="E28" s="11"/>
      <c r="F28" s="6"/>
      <c r="G28" s="10"/>
    </row>
    <row r="29" spans="1:8" ht="18" x14ac:dyDescent="0.35">
      <c r="A29" s="10"/>
      <c r="B29" s="9" t="s">
        <v>90</v>
      </c>
      <c r="C29" s="11"/>
      <c r="D29" s="6"/>
      <c r="E29" s="11"/>
      <c r="F29" s="6">
        <f>CIH!N48</f>
        <v>500000</v>
      </c>
      <c r="G29" s="10"/>
    </row>
    <row r="30" spans="1:8" ht="18" x14ac:dyDescent="0.35">
      <c r="A30" s="12"/>
      <c r="B30" s="13"/>
      <c r="C30" s="12"/>
      <c r="D30" s="6"/>
      <c r="E30" s="14"/>
      <c r="F30" s="12"/>
      <c r="G30" s="10"/>
    </row>
    <row r="31" spans="1:8" ht="18" x14ac:dyDescent="0.35">
      <c r="A31" s="54" t="s">
        <v>1</v>
      </c>
      <c r="B31" s="54"/>
      <c r="C31" s="12"/>
      <c r="D31" s="15">
        <f>SUM(D14:D30)</f>
        <v>371250000</v>
      </c>
      <c r="E31" s="16"/>
      <c r="F31" s="15">
        <f>SUM(F14:F30)</f>
        <v>91612000</v>
      </c>
      <c r="G31" s="10"/>
    </row>
    <row r="32" spans="1:8" ht="18" x14ac:dyDescent="0.35">
      <c r="A32" s="54" t="s">
        <v>273</v>
      </c>
      <c r="B32" s="54"/>
      <c r="C32" s="12"/>
      <c r="D32" s="15">
        <f>D5-D31</f>
        <v>405750000</v>
      </c>
      <c r="E32" s="16"/>
      <c r="F32" s="15">
        <f>E9-SUM(F14:F28)</f>
        <v>538888000</v>
      </c>
      <c r="G32" s="12"/>
    </row>
  </sheetData>
  <mergeCells count="8">
    <mergeCell ref="A32:B32"/>
    <mergeCell ref="A1:G1"/>
    <mergeCell ref="A12:A13"/>
    <mergeCell ref="B12:B13"/>
    <mergeCell ref="C12:D12"/>
    <mergeCell ref="E12:F12"/>
    <mergeCell ref="A31:B31"/>
    <mergeCell ref="G12:G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6884-F7E9-452D-B6B7-FFA548CC53E6}">
  <sheetPr>
    <tabColor rgb="FF9BFF21"/>
  </sheetPr>
  <dimension ref="A1:H23"/>
  <sheetViews>
    <sheetView topLeftCell="A10" workbookViewId="0">
      <selection activeCell="D6" sqref="D6"/>
    </sheetView>
  </sheetViews>
  <sheetFormatPr defaultRowHeight="14.4" x14ac:dyDescent="0.3"/>
  <cols>
    <col min="1" max="1" width="6" customWidth="1"/>
    <col min="2" max="2" width="13.66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27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26</v>
      </c>
      <c r="D5" s="6">
        <v>4551200</v>
      </c>
      <c r="E5" s="6"/>
      <c r="F5" s="6"/>
      <c r="G5" s="7">
        <f>D5-E5-F5</f>
        <v>4551200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4551200</v>
      </c>
      <c r="E9" s="19">
        <f>SUM(E5:E8)</f>
        <v>0</v>
      </c>
      <c r="F9" s="18"/>
      <c r="G9" s="19">
        <f>SUM(G5:G8)</f>
        <v>4551200</v>
      </c>
      <c r="H9" s="19">
        <f>SUM(H5:H8)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46185</v>
      </c>
      <c r="D14" s="6">
        <v>2275600</v>
      </c>
      <c r="E14" s="11"/>
      <c r="F14" s="6"/>
      <c r="G14" s="1"/>
    </row>
    <row r="15" spans="1:8" ht="18" x14ac:dyDescent="0.35">
      <c r="A15" s="10">
        <f>A14+1</f>
        <v>2</v>
      </c>
      <c r="B15" s="9" t="s">
        <v>79</v>
      </c>
      <c r="C15" s="21">
        <v>46209</v>
      </c>
      <c r="D15" s="6">
        <v>2275600</v>
      </c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4551200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>
        <f>D5-D22</f>
        <v>0</v>
      </c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7A93-045C-4D24-953F-A4A8F7922C94}">
  <dimension ref="A1:H26"/>
  <sheetViews>
    <sheetView topLeftCell="A25" workbookViewId="0">
      <selection sqref="A1:H29"/>
    </sheetView>
  </sheetViews>
  <sheetFormatPr defaultRowHeight="14.4" x14ac:dyDescent="0.3"/>
  <cols>
    <col min="1" max="1" width="6" customWidth="1"/>
    <col min="2" max="2" width="24.5546875" customWidth="1"/>
    <col min="3" max="3" width="30.109375" customWidth="1"/>
    <col min="4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28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33</v>
      </c>
      <c r="D5" s="6">
        <f>(60087500*2)-(60087500*2*11%)</f>
        <v>106955750</v>
      </c>
      <c r="E5" s="6">
        <f>65000000+1265000</f>
        <v>66265000</v>
      </c>
      <c r="F5" s="6"/>
      <c r="G5" s="7">
        <f>D5-E5-F5</f>
        <v>40690750</v>
      </c>
      <c r="H5" s="7">
        <f>G5/D5*100</f>
        <v>38.044471662346346</v>
      </c>
    </row>
    <row r="6" spans="1:8" ht="21" x14ac:dyDescent="0.4">
      <c r="A6" s="2"/>
      <c r="B6" s="5"/>
      <c r="C6" s="5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106955750</v>
      </c>
      <c r="E9" s="19">
        <f>SUM(E5:E8)</f>
        <v>66265000</v>
      </c>
      <c r="F9" s="18"/>
      <c r="G9" s="19">
        <f>SUM(G5:G8)</f>
        <v>40690750</v>
      </c>
      <c r="H9" s="19">
        <f>SUM(H5:H8)</f>
        <v>38.044471662346346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46190</v>
      </c>
      <c r="D14" s="6">
        <f>30043750-(30043750*11%)</f>
        <v>26738937.5</v>
      </c>
      <c r="E14" s="11"/>
      <c r="F14" s="6"/>
      <c r="G14" s="1"/>
    </row>
    <row r="15" spans="1:8" ht="18" x14ac:dyDescent="0.35">
      <c r="A15" s="10">
        <f t="shared" ref="A15:A20" si="0">A14+1</f>
        <v>2</v>
      </c>
      <c r="B15" s="9" t="s">
        <v>15</v>
      </c>
      <c r="C15" s="21">
        <v>46190</v>
      </c>
      <c r="D15" s="6">
        <f>30043750-(30043750*11%)</f>
        <v>26738937.5</v>
      </c>
      <c r="E15" s="11"/>
      <c r="F15" s="6"/>
      <c r="G15" s="1"/>
    </row>
    <row r="16" spans="1:8" ht="18" x14ac:dyDescent="0.35">
      <c r="A16" s="10">
        <f t="shared" si="0"/>
        <v>3</v>
      </c>
      <c r="B16" s="9" t="s">
        <v>15</v>
      </c>
      <c r="C16" s="21"/>
      <c r="D16" s="6"/>
      <c r="E16" s="11">
        <v>46197</v>
      </c>
      <c r="F16" s="6">
        <v>30000000</v>
      </c>
      <c r="G16" s="1"/>
    </row>
    <row r="17" spans="1:7" ht="18" x14ac:dyDescent="0.35">
      <c r="A17" s="10">
        <f t="shared" si="0"/>
        <v>4</v>
      </c>
      <c r="B17" s="9" t="s">
        <v>81</v>
      </c>
      <c r="C17" s="21"/>
      <c r="D17" s="6"/>
      <c r="E17" s="11">
        <v>46214</v>
      </c>
      <c r="F17" s="6">
        <v>16800000</v>
      </c>
      <c r="G17" s="1"/>
    </row>
    <row r="18" spans="1:7" ht="18" x14ac:dyDescent="0.35">
      <c r="A18" s="10">
        <f t="shared" si="0"/>
        <v>5</v>
      </c>
      <c r="B18" s="9" t="s">
        <v>81</v>
      </c>
      <c r="C18" s="11"/>
      <c r="D18" s="6"/>
      <c r="E18" s="11">
        <v>46221</v>
      </c>
      <c r="F18" s="6">
        <v>10000000</v>
      </c>
      <c r="G18" s="1"/>
    </row>
    <row r="19" spans="1:7" ht="18" x14ac:dyDescent="0.35">
      <c r="A19" s="10">
        <f t="shared" si="0"/>
        <v>6</v>
      </c>
      <c r="B19" s="9" t="s">
        <v>81</v>
      </c>
      <c r="C19" s="11"/>
      <c r="D19" s="6"/>
      <c r="E19" s="11">
        <v>46222</v>
      </c>
      <c r="F19" s="6">
        <v>3200000</v>
      </c>
      <c r="G19" s="1"/>
    </row>
    <row r="20" spans="1:7" ht="18" x14ac:dyDescent="0.35">
      <c r="A20" s="10">
        <f t="shared" si="0"/>
        <v>7</v>
      </c>
      <c r="B20" s="9" t="s">
        <v>81</v>
      </c>
      <c r="C20" s="11"/>
      <c r="D20" s="6"/>
      <c r="E20" s="11">
        <v>46291</v>
      </c>
      <c r="F20" s="6">
        <v>6265000</v>
      </c>
    </row>
    <row r="21" spans="1:7" ht="18" x14ac:dyDescent="0.35">
      <c r="A21" s="10"/>
      <c r="B21" s="9"/>
      <c r="C21" s="11"/>
      <c r="D21" s="6"/>
      <c r="E21" s="11"/>
      <c r="F21" s="6"/>
    </row>
    <row r="22" spans="1:7" ht="18" x14ac:dyDescent="0.35">
      <c r="A22" s="10"/>
      <c r="B22" s="9"/>
      <c r="C22" s="11"/>
      <c r="D22" s="6"/>
      <c r="E22" s="11"/>
      <c r="F22" s="6"/>
    </row>
    <row r="23" spans="1:7" ht="18" x14ac:dyDescent="0.35">
      <c r="A23" s="10"/>
      <c r="B23" s="9" t="s">
        <v>90</v>
      </c>
      <c r="C23" s="11"/>
      <c r="D23" s="6"/>
      <c r="E23" s="11"/>
      <c r="F23" s="6">
        <f>CIH!N45</f>
        <v>200000</v>
      </c>
    </row>
    <row r="24" spans="1:7" ht="18" x14ac:dyDescent="0.35">
      <c r="A24" s="12"/>
      <c r="B24" s="13"/>
      <c r="C24" s="12"/>
      <c r="D24" s="6"/>
      <c r="E24" s="14"/>
      <c r="F24" s="12"/>
    </row>
    <row r="25" spans="1:7" ht="18" x14ac:dyDescent="0.35">
      <c r="A25" s="54" t="s">
        <v>1</v>
      </c>
      <c r="B25" s="54"/>
      <c r="C25" s="12"/>
      <c r="D25" s="15">
        <f>SUM(D14:D24)</f>
        <v>53477875</v>
      </c>
      <c r="E25" s="16"/>
      <c r="F25" s="15">
        <f>SUM(F14:F24)</f>
        <v>66465000</v>
      </c>
    </row>
    <row r="26" spans="1:7" ht="18" x14ac:dyDescent="0.35">
      <c r="A26" s="54" t="s">
        <v>273</v>
      </c>
      <c r="B26" s="54"/>
      <c r="C26" s="12"/>
      <c r="D26" s="15">
        <f>D5-D25</f>
        <v>53477875</v>
      </c>
      <c r="E26" s="16"/>
      <c r="F26" s="15">
        <f>E9-SUM(F14:F22)</f>
        <v>0</v>
      </c>
    </row>
  </sheetData>
  <mergeCells count="7">
    <mergeCell ref="A26:B26"/>
    <mergeCell ref="A1:G1"/>
    <mergeCell ref="A12:A13"/>
    <mergeCell ref="B12:B13"/>
    <mergeCell ref="C12:D12"/>
    <mergeCell ref="E12:F12"/>
    <mergeCell ref="A25:B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7DEC-F9C7-44A4-ADE2-FD315BA2CE39}">
  <sheetPr>
    <tabColor rgb="FF9BFF21"/>
  </sheetPr>
  <dimension ref="A1:H23"/>
  <sheetViews>
    <sheetView topLeftCell="A13" workbookViewId="0">
      <selection activeCell="F26" sqref="F26"/>
    </sheetView>
  </sheetViews>
  <sheetFormatPr defaultRowHeight="14.4" x14ac:dyDescent="0.3"/>
  <cols>
    <col min="1" max="1" width="6" customWidth="1"/>
    <col min="2" max="2" width="13.66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29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9000000</v>
      </c>
      <c r="E5" s="6">
        <v>7500000</v>
      </c>
      <c r="F5" s="6"/>
      <c r="G5" s="7">
        <f>D5-E5-F5</f>
        <v>1500000</v>
      </c>
      <c r="H5" s="7">
        <f>G5/D5*100</f>
        <v>16.666666666666664</v>
      </c>
    </row>
    <row r="6" spans="1:8" ht="21" x14ac:dyDescent="0.4">
      <c r="A6" s="2"/>
      <c r="B6" s="5"/>
      <c r="C6" s="5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9000000</v>
      </c>
      <c r="E9" s="19">
        <f>SUM(E5:E8)</f>
        <v>7500000</v>
      </c>
      <c r="F9" s="18"/>
      <c r="G9" s="19">
        <f>SUM(G5:G8)</f>
        <v>1500000</v>
      </c>
      <c r="H9" s="19">
        <f>SUM(H5:H8)</f>
        <v>16.666666666666664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/>
      <c r="D14" s="6"/>
      <c r="E14" s="11">
        <v>46184</v>
      </c>
      <c r="F14" s="6">
        <v>4000000</v>
      </c>
      <c r="G14" s="1"/>
    </row>
    <row r="15" spans="1:8" ht="18" x14ac:dyDescent="0.35">
      <c r="A15" s="10">
        <f>A14+1</f>
        <v>2</v>
      </c>
      <c r="B15" s="9" t="s">
        <v>34</v>
      </c>
      <c r="C15" s="21">
        <v>46192</v>
      </c>
      <c r="D15" s="6">
        <v>9000000</v>
      </c>
      <c r="E15" s="11"/>
      <c r="F15" s="6"/>
      <c r="G15" s="1"/>
    </row>
    <row r="16" spans="1:8" ht="18" x14ac:dyDescent="0.35">
      <c r="A16" s="10">
        <f>A15+1</f>
        <v>3</v>
      </c>
      <c r="B16" s="9" t="s">
        <v>36</v>
      </c>
      <c r="C16" s="21"/>
      <c r="D16" s="6"/>
      <c r="E16" s="11">
        <v>46193</v>
      </c>
      <c r="F16" s="6">
        <v>3500000</v>
      </c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9000000</v>
      </c>
      <c r="E22" s="16"/>
      <c r="F22" s="15">
        <f>SUM(F14:F21)</f>
        <v>7500000</v>
      </c>
    </row>
    <row r="23" spans="1:7" ht="18" x14ac:dyDescent="0.35">
      <c r="A23" s="54" t="s">
        <v>17</v>
      </c>
      <c r="B23" s="54"/>
      <c r="C23" s="12"/>
      <c r="D23" s="15">
        <f>D5-D22</f>
        <v>0</v>
      </c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69A3-43E1-4DCA-9A95-B3B1044216E8}">
  <sheetPr>
    <tabColor rgb="FF9BFF21"/>
  </sheetPr>
  <dimension ref="A1:H23"/>
  <sheetViews>
    <sheetView topLeftCell="A10" workbookViewId="0">
      <selection activeCell="H16" sqref="H16"/>
    </sheetView>
  </sheetViews>
  <sheetFormatPr defaultRowHeight="14.4" x14ac:dyDescent="0.3"/>
  <cols>
    <col min="1" max="1" width="6" customWidth="1"/>
    <col min="2" max="2" width="19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47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8000000</v>
      </c>
      <c r="E5" s="6">
        <v>5330000</v>
      </c>
      <c r="F5" s="6"/>
      <c r="G5" s="7">
        <f>D5-E5-F5</f>
        <v>2670000</v>
      </c>
      <c r="H5" s="7">
        <f>G5/D5*100</f>
        <v>33.375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8000000</v>
      </c>
      <c r="E9" s="19">
        <f>SUM(E5:E8)</f>
        <v>5330000</v>
      </c>
      <c r="F9" s="18"/>
      <c r="G9" s="19">
        <f>SUM(G5:G8)</f>
        <v>2670000</v>
      </c>
      <c r="H9" s="20">
        <f>G9/D9*100</f>
        <v>33.375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48</v>
      </c>
      <c r="C14" s="21"/>
      <c r="D14" s="6"/>
      <c r="E14" s="11">
        <v>46202</v>
      </c>
      <c r="F14" s="6">
        <v>3000000</v>
      </c>
      <c r="G14" s="1"/>
    </row>
    <row r="15" spans="1:8" ht="18" x14ac:dyDescent="0.35">
      <c r="A15" s="10">
        <f>A14+1</f>
        <v>2</v>
      </c>
      <c r="B15" s="9" t="s">
        <v>76</v>
      </c>
      <c r="C15" s="21">
        <v>46204</v>
      </c>
      <c r="D15" s="6">
        <v>8000000</v>
      </c>
      <c r="E15" s="11"/>
      <c r="F15" s="6"/>
      <c r="G15" s="1"/>
    </row>
    <row r="16" spans="1:8" ht="18" x14ac:dyDescent="0.35">
      <c r="A16" s="10">
        <f>A15+1</f>
        <v>3</v>
      </c>
      <c r="B16" s="9" t="s">
        <v>77</v>
      </c>
      <c r="C16" s="21"/>
      <c r="D16" s="6"/>
      <c r="E16" s="11">
        <v>46204</v>
      </c>
      <c r="F16" s="6">
        <v>2330000</v>
      </c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8000000</v>
      </c>
      <c r="E22" s="16"/>
      <c r="F22" s="15">
        <f>SUM(F14:F21)</f>
        <v>5330000</v>
      </c>
    </row>
    <row r="23" spans="1:7" ht="18" x14ac:dyDescent="0.35">
      <c r="A23" s="54" t="s">
        <v>17</v>
      </c>
      <c r="B23" s="54"/>
      <c r="C23" s="12"/>
      <c r="D23" s="15"/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6275-F04B-4C47-8AD8-6BABA7E5864B}">
  <dimension ref="A1:H24"/>
  <sheetViews>
    <sheetView topLeftCell="A9" workbookViewId="0">
      <selection sqref="A1:I28"/>
    </sheetView>
  </sheetViews>
  <sheetFormatPr defaultRowHeight="14.4" x14ac:dyDescent="0.3"/>
  <cols>
    <col min="1" max="1" width="6" customWidth="1"/>
    <col min="2" max="2" width="19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106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65487000</v>
      </c>
      <c r="E5" s="6">
        <v>52000000</v>
      </c>
      <c r="F5" s="6"/>
      <c r="G5" s="7">
        <f>D5-E5-F5</f>
        <v>13487000</v>
      </c>
      <c r="H5" s="7">
        <f>G5/D5*100</f>
        <v>20.59492723746698</v>
      </c>
    </row>
    <row r="6" spans="1:8" ht="21" x14ac:dyDescent="0.4">
      <c r="A6" s="2"/>
      <c r="B6" s="5"/>
      <c r="C6" s="5" t="s">
        <v>371</v>
      </c>
      <c r="D6" s="6">
        <v>7800000</v>
      </c>
      <c r="E6" s="6">
        <v>6000000</v>
      </c>
      <c r="F6" s="6"/>
      <c r="G6" s="7">
        <f>D6-E6-F6</f>
        <v>1800000</v>
      </c>
      <c r="H6" s="7">
        <f>G6/D6*100</f>
        <v>23.076923076923077</v>
      </c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73287000</v>
      </c>
      <c r="E9" s="19">
        <f>SUM(E5:E8)</f>
        <v>58000000</v>
      </c>
      <c r="F9" s="18"/>
      <c r="G9" s="19">
        <f>SUM(G5:G8)</f>
        <v>15287000</v>
      </c>
      <c r="H9" s="20">
        <f>G9/D9*100</f>
        <v>20.859088242116609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24" t="s">
        <v>114</v>
      </c>
      <c r="C14" s="21">
        <v>46232</v>
      </c>
      <c r="D14" s="6">
        <v>32743500</v>
      </c>
      <c r="E14" s="11"/>
      <c r="F14" s="6"/>
      <c r="G14" s="1"/>
    </row>
    <row r="15" spans="1:8" ht="18" x14ac:dyDescent="0.35">
      <c r="A15" s="10">
        <f>A14+1</f>
        <v>2</v>
      </c>
      <c r="B15" s="24" t="s">
        <v>48</v>
      </c>
      <c r="C15" s="21"/>
      <c r="D15" s="6"/>
      <c r="E15" s="11">
        <v>46233</v>
      </c>
      <c r="F15" s="6">
        <v>25000000</v>
      </c>
      <c r="G15" s="1"/>
    </row>
    <row r="16" spans="1:8" ht="18" x14ac:dyDescent="0.35">
      <c r="A16" s="10">
        <f>A15+1</f>
        <v>3</v>
      </c>
      <c r="B16" s="24" t="s">
        <v>261</v>
      </c>
      <c r="C16" s="21">
        <v>46267</v>
      </c>
      <c r="D16" s="6">
        <v>32743500</v>
      </c>
      <c r="E16" s="11"/>
      <c r="F16" s="6"/>
      <c r="G16" s="1"/>
    </row>
    <row r="17" spans="1:7" ht="18" x14ac:dyDescent="0.35">
      <c r="A17" s="10">
        <f>A16+1</f>
        <v>4</v>
      </c>
      <c r="B17" s="9" t="s">
        <v>77</v>
      </c>
      <c r="C17" s="21"/>
      <c r="D17" s="6"/>
      <c r="E17" s="11">
        <v>46270</v>
      </c>
      <c r="F17" s="6">
        <v>27000000</v>
      </c>
      <c r="G17" s="1"/>
    </row>
    <row r="18" spans="1:7" ht="18" x14ac:dyDescent="0.35">
      <c r="A18" s="10">
        <f>A17+1</f>
        <v>5</v>
      </c>
      <c r="B18" s="9" t="s">
        <v>371</v>
      </c>
      <c r="C18" s="11">
        <v>46287</v>
      </c>
      <c r="D18" s="6">
        <v>7800000</v>
      </c>
      <c r="E18" s="11"/>
      <c r="F18" s="6"/>
      <c r="G18" s="1"/>
    </row>
    <row r="19" spans="1:7" ht="18" x14ac:dyDescent="0.35">
      <c r="A19" s="10">
        <v>6</v>
      </c>
      <c r="B19" s="9" t="s">
        <v>210</v>
      </c>
      <c r="C19" s="11"/>
      <c r="D19" s="6"/>
      <c r="E19" s="11">
        <v>46291</v>
      </c>
      <c r="F19" s="6">
        <v>6000000</v>
      </c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0"/>
      <c r="B21" s="9" t="s">
        <v>90</v>
      </c>
      <c r="C21" s="11"/>
      <c r="D21" s="6"/>
      <c r="E21" s="11"/>
      <c r="F21" s="6">
        <f>CIH!N41</f>
        <v>218000</v>
      </c>
    </row>
    <row r="22" spans="1:7" ht="18" x14ac:dyDescent="0.35">
      <c r="A22" s="12"/>
      <c r="B22" s="13"/>
      <c r="C22" s="12"/>
      <c r="D22" s="6"/>
      <c r="E22" s="14"/>
      <c r="F22" s="12"/>
    </row>
    <row r="23" spans="1:7" ht="18" x14ac:dyDescent="0.35">
      <c r="A23" s="54" t="s">
        <v>1</v>
      </c>
      <c r="B23" s="54"/>
      <c r="C23" s="12"/>
      <c r="D23" s="15">
        <f>SUM(D14:D22)</f>
        <v>73287000</v>
      </c>
      <c r="E23" s="16"/>
      <c r="F23" s="15">
        <f>SUM(F14:F22)</f>
        <v>58218000</v>
      </c>
    </row>
    <row r="24" spans="1:7" ht="18" x14ac:dyDescent="0.35">
      <c r="A24" s="54" t="s">
        <v>17</v>
      </c>
      <c r="B24" s="54"/>
      <c r="C24" s="12"/>
      <c r="D24" s="15"/>
      <c r="E24" s="16"/>
      <c r="F24" s="15"/>
    </row>
  </sheetData>
  <mergeCells count="7">
    <mergeCell ref="A24:B24"/>
    <mergeCell ref="A1:G1"/>
    <mergeCell ref="A12:A13"/>
    <mergeCell ref="B12:B13"/>
    <mergeCell ref="C12:D12"/>
    <mergeCell ref="E12:F12"/>
    <mergeCell ref="A23:B2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EDEE-A028-476E-A05F-C022C73C7230}">
  <dimension ref="A1:H27"/>
  <sheetViews>
    <sheetView topLeftCell="A19" workbookViewId="0">
      <selection sqref="A1:I28"/>
    </sheetView>
  </sheetViews>
  <sheetFormatPr defaultRowHeight="14.4" x14ac:dyDescent="0.3"/>
  <cols>
    <col min="1" max="1" width="6" customWidth="1"/>
    <col min="2" max="2" width="25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161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764623000</v>
      </c>
      <c r="E5" s="6">
        <v>460000000</v>
      </c>
      <c r="F5" s="6"/>
      <c r="G5" s="7">
        <f>D5-E5-F5</f>
        <v>304623000</v>
      </c>
      <c r="H5" s="7">
        <f>G5/D5*100</f>
        <v>39.8396333879572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764623000</v>
      </c>
      <c r="E9" s="19">
        <f>SUM(E5:E8)</f>
        <v>460000000</v>
      </c>
      <c r="F9" s="18"/>
      <c r="G9" s="19">
        <f>SUM(G5:G8)</f>
        <v>304623000</v>
      </c>
      <c r="H9" s="20">
        <f>G9/D9*100</f>
        <v>39.8396333879572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  <c r="G12" s="68" t="s">
        <v>53</v>
      </c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69"/>
    </row>
    <row r="14" spans="1:8" ht="18" x14ac:dyDescent="0.35">
      <c r="A14" s="10">
        <v>1</v>
      </c>
      <c r="B14" s="24" t="s">
        <v>162</v>
      </c>
      <c r="C14" s="21">
        <v>46241</v>
      </c>
      <c r="D14" s="6">
        <v>76462300</v>
      </c>
      <c r="E14" s="11"/>
      <c r="F14" s="6"/>
      <c r="G14" s="10"/>
    </row>
    <row r="15" spans="1:8" ht="18" x14ac:dyDescent="0.35">
      <c r="A15" s="10">
        <f>A14+1</f>
        <v>2</v>
      </c>
      <c r="B15" s="24" t="s">
        <v>194</v>
      </c>
      <c r="C15" s="21"/>
      <c r="D15" s="6"/>
      <c r="E15" s="11">
        <v>46247</v>
      </c>
      <c r="F15" s="6">
        <v>5000000</v>
      </c>
      <c r="G15" s="10"/>
    </row>
    <row r="16" spans="1:8" ht="18" x14ac:dyDescent="0.35">
      <c r="A16" s="10">
        <f>A15+1</f>
        <v>3</v>
      </c>
      <c r="B16" s="24" t="s">
        <v>247</v>
      </c>
      <c r="C16" s="21"/>
      <c r="D16" s="6"/>
      <c r="E16" s="11">
        <v>46255</v>
      </c>
      <c r="F16" s="6">
        <v>4000000</v>
      </c>
      <c r="G16" s="10"/>
    </row>
    <row r="17" spans="1:7" ht="18" x14ac:dyDescent="0.35">
      <c r="A17" s="10">
        <f>A16+1</f>
        <v>4</v>
      </c>
      <c r="B17" s="24" t="s">
        <v>248</v>
      </c>
      <c r="C17" s="21"/>
      <c r="D17" s="6"/>
      <c r="E17" s="11">
        <v>46259</v>
      </c>
      <c r="F17" s="6">
        <v>41000000</v>
      </c>
      <c r="G17" s="10"/>
    </row>
    <row r="18" spans="1:7" ht="18" x14ac:dyDescent="0.35">
      <c r="A18" s="10">
        <f>A17+1</f>
        <v>5</v>
      </c>
      <c r="B18" s="24" t="s">
        <v>248</v>
      </c>
      <c r="C18" s="21"/>
      <c r="D18" s="6"/>
      <c r="E18" s="11">
        <v>46259</v>
      </c>
      <c r="F18" s="6">
        <v>50000000</v>
      </c>
      <c r="G18" s="10"/>
    </row>
    <row r="19" spans="1:7" ht="18" x14ac:dyDescent="0.35">
      <c r="A19" s="10">
        <v>6</v>
      </c>
      <c r="B19" s="24" t="s">
        <v>16</v>
      </c>
      <c r="C19" s="11">
        <v>46260</v>
      </c>
      <c r="D19" s="6">
        <v>191155750</v>
      </c>
      <c r="E19" s="11"/>
      <c r="F19" s="6"/>
      <c r="G19" s="10"/>
    </row>
    <row r="20" spans="1:7" ht="18" x14ac:dyDescent="0.35">
      <c r="A20" s="10">
        <v>7</v>
      </c>
      <c r="B20" s="24" t="s">
        <v>397</v>
      </c>
      <c r="C20" s="11"/>
      <c r="D20" s="6"/>
      <c r="E20" s="11">
        <v>46296</v>
      </c>
      <c r="F20" s="6">
        <v>4000000</v>
      </c>
      <c r="G20" s="10" t="s">
        <v>395</v>
      </c>
    </row>
    <row r="21" spans="1:7" ht="18" x14ac:dyDescent="0.35">
      <c r="A21" s="10"/>
      <c r="B21" s="24"/>
      <c r="C21" s="11"/>
      <c r="D21" s="6"/>
      <c r="E21" s="11">
        <v>46306</v>
      </c>
      <c r="F21" s="6">
        <v>40000000</v>
      </c>
      <c r="G21" s="10"/>
    </row>
    <row r="22" spans="1:7" ht="18" x14ac:dyDescent="0.35">
      <c r="A22" s="10"/>
      <c r="B22" s="24"/>
      <c r="C22" s="11"/>
      <c r="D22" s="6"/>
      <c r="E22" s="11"/>
      <c r="F22" s="6"/>
      <c r="G22" s="10"/>
    </row>
    <row r="23" spans="1:7" ht="18" x14ac:dyDescent="0.35">
      <c r="A23" s="10"/>
      <c r="B23" s="24"/>
      <c r="C23" s="11"/>
      <c r="D23" s="6"/>
      <c r="E23" s="11"/>
      <c r="F23" s="6"/>
      <c r="G23" s="10"/>
    </row>
    <row r="24" spans="1:7" ht="18" x14ac:dyDescent="0.35">
      <c r="A24" s="10"/>
      <c r="B24" s="9" t="s">
        <v>90</v>
      </c>
      <c r="C24" s="11"/>
      <c r="D24" s="6"/>
      <c r="E24" s="11"/>
      <c r="F24" s="6">
        <f>CIH!N54</f>
        <v>415100</v>
      </c>
      <c r="G24" s="10"/>
    </row>
    <row r="25" spans="1:7" ht="18" x14ac:dyDescent="0.35">
      <c r="A25" s="12"/>
      <c r="B25" s="13"/>
      <c r="C25" s="12"/>
      <c r="D25" s="6"/>
      <c r="E25" s="14"/>
      <c r="F25" s="12"/>
      <c r="G25" s="10"/>
    </row>
    <row r="26" spans="1:7" ht="18" x14ac:dyDescent="0.35">
      <c r="A26" s="54" t="s">
        <v>1</v>
      </c>
      <c r="B26" s="54"/>
      <c r="C26" s="12"/>
      <c r="D26" s="15">
        <f>SUM(D14:D25)</f>
        <v>267618050</v>
      </c>
      <c r="E26" s="16"/>
      <c r="F26" s="15">
        <f>SUM(F14:F25)</f>
        <v>144415100</v>
      </c>
      <c r="G26" s="10"/>
    </row>
    <row r="27" spans="1:7" ht="18" x14ac:dyDescent="0.35">
      <c r="A27" s="54" t="s">
        <v>17</v>
      </c>
      <c r="B27" s="54"/>
      <c r="C27" s="12"/>
      <c r="D27" s="15">
        <f>D9-D26</f>
        <v>497004950</v>
      </c>
      <c r="E27" s="16"/>
      <c r="F27" s="15">
        <f>E5-SUM(F14:F18)-F21</f>
        <v>320000000</v>
      </c>
      <c r="G27" s="10"/>
    </row>
  </sheetData>
  <mergeCells count="8">
    <mergeCell ref="A27:B27"/>
    <mergeCell ref="A1:G1"/>
    <mergeCell ref="A12:A13"/>
    <mergeCell ref="B12:B13"/>
    <mergeCell ref="C12:D12"/>
    <mergeCell ref="E12:F12"/>
    <mergeCell ref="A26:B26"/>
    <mergeCell ref="G12:G1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EFAA-4DAC-4237-B974-C6874E729CC9}">
  <dimension ref="A1:H27"/>
  <sheetViews>
    <sheetView topLeftCell="A9" workbookViewId="0">
      <selection sqref="A1:I29"/>
    </sheetView>
  </sheetViews>
  <sheetFormatPr defaultRowHeight="14.4" x14ac:dyDescent="0.3"/>
  <cols>
    <col min="1" max="1" width="6" customWidth="1"/>
    <col min="2" max="2" width="25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330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396882000</v>
      </c>
      <c r="E5" s="6">
        <v>335000000</v>
      </c>
      <c r="F5" s="6"/>
      <c r="G5" s="7">
        <f>D5-E5-F5</f>
        <v>61882000</v>
      </c>
      <c r="H5" s="7">
        <f>G5/D5*100</f>
        <v>15.592039951421329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396882000</v>
      </c>
      <c r="E9" s="19">
        <f>SUM(E5:E8)</f>
        <v>335000000</v>
      </c>
      <c r="F9" s="18"/>
      <c r="G9" s="19">
        <f>SUM(G5:G8)</f>
        <v>61882000</v>
      </c>
      <c r="H9" s="20">
        <f>G9/D9*100</f>
        <v>15.592039951421329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4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  <c r="G12" s="68" t="s">
        <v>53</v>
      </c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69"/>
    </row>
    <row r="14" spans="1:8" ht="18" x14ac:dyDescent="0.35">
      <c r="A14" s="10">
        <v>1</v>
      </c>
      <c r="B14" s="24" t="s">
        <v>331</v>
      </c>
      <c r="C14" s="21">
        <v>46279</v>
      </c>
      <c r="D14" s="6">
        <v>39688200</v>
      </c>
      <c r="E14" s="11"/>
      <c r="F14" s="6"/>
      <c r="G14" s="10"/>
    </row>
    <row r="15" spans="1:8" ht="18" x14ac:dyDescent="0.35">
      <c r="A15" s="10">
        <f>A14+1</f>
        <v>2</v>
      </c>
      <c r="B15" s="24" t="s">
        <v>346</v>
      </c>
      <c r="C15" s="21"/>
      <c r="D15" s="6"/>
      <c r="E15" s="11">
        <v>46284</v>
      </c>
      <c r="F15" s="6">
        <v>10000000</v>
      </c>
      <c r="G15" s="10"/>
    </row>
    <row r="16" spans="1:8" ht="18" x14ac:dyDescent="0.35">
      <c r="A16" s="10">
        <f>A15+1</f>
        <v>3</v>
      </c>
      <c r="B16" s="24" t="s">
        <v>346</v>
      </c>
      <c r="C16" s="21"/>
      <c r="D16" s="6"/>
      <c r="E16" s="11">
        <v>46288</v>
      </c>
      <c r="F16" s="6">
        <v>5000000</v>
      </c>
      <c r="G16" s="10"/>
    </row>
    <row r="17" spans="1:7" ht="18" x14ac:dyDescent="0.35">
      <c r="A17" s="10">
        <f>A16+1</f>
        <v>4</v>
      </c>
      <c r="B17" s="24" t="s">
        <v>370</v>
      </c>
      <c r="C17" s="21">
        <v>46289</v>
      </c>
      <c r="D17" s="6">
        <v>99220500</v>
      </c>
      <c r="E17" s="11"/>
      <c r="F17" s="6"/>
      <c r="G17" s="10"/>
    </row>
    <row r="18" spans="1:7" ht="18" x14ac:dyDescent="0.35">
      <c r="A18" s="10">
        <f>A17+1</f>
        <v>5</v>
      </c>
      <c r="B18" s="24" t="s">
        <v>346</v>
      </c>
      <c r="C18" s="21"/>
      <c r="D18" s="6"/>
      <c r="E18" s="11">
        <v>46290</v>
      </c>
      <c r="F18" s="6">
        <v>15000000</v>
      </c>
      <c r="G18" s="10"/>
    </row>
    <row r="19" spans="1:7" ht="18" x14ac:dyDescent="0.35">
      <c r="A19" s="10">
        <v>6</v>
      </c>
      <c r="B19" s="24" t="s">
        <v>346</v>
      </c>
      <c r="C19" s="11"/>
      <c r="D19" s="6"/>
      <c r="E19" s="11">
        <v>46291</v>
      </c>
      <c r="F19" s="6">
        <v>3500000</v>
      </c>
      <c r="G19" s="10"/>
    </row>
    <row r="20" spans="1:7" ht="18" x14ac:dyDescent="0.35">
      <c r="A20" s="10">
        <v>7</v>
      </c>
      <c r="B20" s="24" t="s">
        <v>397</v>
      </c>
      <c r="C20" s="11"/>
      <c r="D20" s="6"/>
      <c r="E20" s="11">
        <v>46266</v>
      </c>
      <c r="F20" s="6">
        <v>4000000</v>
      </c>
      <c r="G20" s="10" t="s">
        <v>396</v>
      </c>
    </row>
    <row r="21" spans="1:7" ht="18" x14ac:dyDescent="0.35">
      <c r="A21" s="10"/>
      <c r="B21" s="24"/>
      <c r="C21" s="11"/>
      <c r="D21" s="6"/>
      <c r="E21" s="11"/>
      <c r="F21" s="6"/>
      <c r="G21" s="10"/>
    </row>
    <row r="22" spans="1:7" ht="18" x14ac:dyDescent="0.35">
      <c r="A22" s="10"/>
      <c r="B22" s="24"/>
      <c r="C22" s="11"/>
      <c r="D22" s="6"/>
      <c r="E22" s="11"/>
      <c r="F22" s="6"/>
      <c r="G22" s="10"/>
    </row>
    <row r="23" spans="1:7" ht="18" x14ac:dyDescent="0.35">
      <c r="A23" s="10"/>
      <c r="B23" s="24"/>
      <c r="C23" s="11"/>
      <c r="D23" s="6"/>
      <c r="E23" s="11"/>
      <c r="F23" s="6"/>
      <c r="G23" s="10"/>
    </row>
    <row r="24" spans="1:7" ht="18" x14ac:dyDescent="0.35">
      <c r="A24" s="10"/>
      <c r="B24" s="9" t="s">
        <v>90</v>
      </c>
      <c r="C24" s="11"/>
      <c r="D24" s="6"/>
      <c r="E24" s="11"/>
      <c r="F24" s="6">
        <f>CIH!N63</f>
        <v>243900</v>
      </c>
      <c r="G24" s="10"/>
    </row>
    <row r="25" spans="1:7" ht="18" x14ac:dyDescent="0.35">
      <c r="A25" s="12"/>
      <c r="B25" s="13"/>
      <c r="C25" s="12"/>
      <c r="D25" s="6"/>
      <c r="E25" s="14"/>
      <c r="F25" s="12"/>
      <c r="G25" s="10"/>
    </row>
    <row r="26" spans="1:7" ht="18" x14ac:dyDescent="0.35">
      <c r="A26" s="54" t="s">
        <v>1</v>
      </c>
      <c r="B26" s="54"/>
      <c r="C26" s="12"/>
      <c r="D26" s="15">
        <f>SUM(D14:D25)</f>
        <v>138908700</v>
      </c>
      <c r="E26" s="16"/>
      <c r="F26" s="15">
        <f>SUM(F14:F25)</f>
        <v>37743900</v>
      </c>
      <c r="G26" s="10"/>
    </row>
    <row r="27" spans="1:7" ht="18" x14ac:dyDescent="0.35">
      <c r="A27" s="54" t="s">
        <v>273</v>
      </c>
      <c r="B27" s="54"/>
      <c r="C27" s="12"/>
      <c r="D27" s="15">
        <f>D9-D26</f>
        <v>257973300</v>
      </c>
      <c r="E27" s="16"/>
      <c r="F27" s="15">
        <f>E5-SUM(F14:F23)</f>
        <v>297500000</v>
      </c>
      <c r="G27" s="10"/>
    </row>
  </sheetData>
  <mergeCells count="8">
    <mergeCell ref="A27:B27"/>
    <mergeCell ref="A1:G1"/>
    <mergeCell ref="A12:A13"/>
    <mergeCell ref="B12:B13"/>
    <mergeCell ref="C12:D12"/>
    <mergeCell ref="E12:F12"/>
    <mergeCell ref="A26:B26"/>
    <mergeCell ref="G12:G1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80BE-C93F-4184-AEAA-F25C5F3B3BA6}">
  <dimension ref="A1:H27"/>
  <sheetViews>
    <sheetView topLeftCell="A11" workbookViewId="0">
      <selection sqref="A1:I29"/>
    </sheetView>
  </sheetViews>
  <sheetFormatPr defaultRowHeight="14.4" x14ac:dyDescent="0.3"/>
  <cols>
    <col min="1" max="1" width="6" customWidth="1"/>
    <col min="2" max="2" width="25.44140625" customWidth="1"/>
    <col min="3" max="3" width="29.88671875" customWidth="1"/>
    <col min="4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358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40" t="s">
        <v>359</v>
      </c>
      <c r="D5" s="6">
        <f>36910820-15039000</f>
        <v>21871820</v>
      </c>
      <c r="E5" s="6">
        <f>25844000-10530000</f>
        <v>15314000</v>
      </c>
      <c r="F5" s="6"/>
      <c r="G5" s="7">
        <f>D5-E5-F5</f>
        <v>6557820</v>
      </c>
      <c r="H5" s="7">
        <f>G5/D5*100</f>
        <v>29.982964380650536</v>
      </c>
    </row>
    <row r="6" spans="1:8" ht="21" x14ac:dyDescent="0.4">
      <c r="A6" s="2"/>
      <c r="B6" s="5"/>
      <c r="C6" s="40" t="s">
        <v>360</v>
      </c>
      <c r="D6" s="6">
        <v>36545360</v>
      </c>
      <c r="E6" s="6">
        <v>25587000</v>
      </c>
      <c r="F6" s="6"/>
      <c r="G6" s="7">
        <f>D6-E6-F6</f>
        <v>10958360</v>
      </c>
      <c r="H6" s="7">
        <f>G6/D6*100</f>
        <v>29.985639763844162</v>
      </c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58417180</v>
      </c>
      <c r="E9" s="19">
        <f>SUM(E5:E8)</f>
        <v>40901000</v>
      </c>
      <c r="F9" s="18"/>
      <c r="G9" s="19">
        <f>SUM(G5:G8)</f>
        <v>17516180</v>
      </c>
      <c r="H9" s="20">
        <f>G9/D9*100</f>
        <v>29.984638080783771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24" t="s">
        <v>331</v>
      </c>
      <c r="C14" s="21">
        <v>46287</v>
      </c>
      <c r="D14" s="6">
        <v>50000000</v>
      </c>
      <c r="E14" s="11"/>
      <c r="F14" s="6"/>
      <c r="G14" s="1"/>
    </row>
    <row r="15" spans="1:8" ht="18" x14ac:dyDescent="0.35">
      <c r="A15" s="10">
        <f>A14+1</f>
        <v>2</v>
      </c>
      <c r="B15" s="24" t="s">
        <v>346</v>
      </c>
      <c r="C15" s="21"/>
      <c r="D15" s="6"/>
      <c r="E15" s="11">
        <v>46287</v>
      </c>
      <c r="F15" s="6">
        <v>10000000</v>
      </c>
      <c r="G15" s="1"/>
    </row>
    <row r="16" spans="1:8" ht="18" x14ac:dyDescent="0.35">
      <c r="A16" s="10">
        <f>A15+1</f>
        <v>3</v>
      </c>
      <c r="B16" s="24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24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24"/>
      <c r="C18" s="21"/>
      <c r="D18" s="6"/>
      <c r="E18" s="11"/>
      <c r="F18" s="6"/>
      <c r="G18" s="1"/>
    </row>
    <row r="19" spans="1:7" ht="18" x14ac:dyDescent="0.35">
      <c r="A19" s="10">
        <v>6</v>
      </c>
      <c r="B19" s="24"/>
      <c r="C19" s="11"/>
      <c r="D19" s="6"/>
      <c r="E19" s="11"/>
      <c r="F19" s="6"/>
      <c r="G19" s="1"/>
    </row>
    <row r="20" spans="1:7" ht="18" x14ac:dyDescent="0.35">
      <c r="A20" s="10"/>
      <c r="B20" s="24"/>
      <c r="C20" s="11"/>
      <c r="D20" s="6"/>
      <c r="E20" s="11"/>
      <c r="F20" s="6"/>
    </row>
    <row r="21" spans="1:7" ht="18" x14ac:dyDescent="0.35">
      <c r="A21" s="10"/>
      <c r="B21" s="24"/>
      <c r="C21" s="11"/>
      <c r="D21" s="6"/>
      <c r="E21" s="11"/>
      <c r="F21" s="6"/>
    </row>
    <row r="22" spans="1:7" ht="18" x14ac:dyDescent="0.35">
      <c r="A22" s="10"/>
      <c r="B22" s="24"/>
      <c r="C22" s="11"/>
      <c r="D22" s="6"/>
      <c r="E22" s="11"/>
      <c r="F22" s="6"/>
    </row>
    <row r="23" spans="1:7" ht="18" x14ac:dyDescent="0.35">
      <c r="A23" s="10"/>
      <c r="B23" s="24"/>
      <c r="C23" s="11"/>
      <c r="D23" s="6"/>
      <c r="E23" s="11"/>
      <c r="F23" s="6"/>
    </row>
    <row r="24" spans="1:7" ht="18" x14ac:dyDescent="0.35">
      <c r="A24" s="10"/>
      <c r="B24" s="9" t="s">
        <v>90</v>
      </c>
      <c r="C24" s="11"/>
      <c r="D24" s="6"/>
      <c r="E24" s="11"/>
      <c r="F24" s="6">
        <f>CIH!N64</f>
        <v>208000</v>
      </c>
    </row>
    <row r="25" spans="1:7" ht="18" x14ac:dyDescent="0.35">
      <c r="A25" s="12"/>
      <c r="B25" s="13"/>
      <c r="C25" s="12"/>
      <c r="D25" s="6"/>
      <c r="E25" s="14"/>
      <c r="F25" s="12"/>
    </row>
    <row r="26" spans="1:7" ht="18" x14ac:dyDescent="0.35">
      <c r="A26" s="54" t="s">
        <v>1</v>
      </c>
      <c r="B26" s="54"/>
      <c r="C26" s="12"/>
      <c r="D26" s="15">
        <f>SUM(D14:D25)</f>
        <v>50000000</v>
      </c>
      <c r="E26" s="16"/>
      <c r="F26" s="15">
        <f>SUM(F14:F25)</f>
        <v>10208000</v>
      </c>
    </row>
    <row r="27" spans="1:7" ht="18" x14ac:dyDescent="0.35">
      <c r="A27" s="54" t="s">
        <v>273</v>
      </c>
      <c r="B27" s="54"/>
      <c r="C27" s="12"/>
      <c r="D27" s="15">
        <f>D9-D26</f>
        <v>8417180</v>
      </c>
      <c r="E27" s="16"/>
      <c r="F27" s="15">
        <f>E9-SUM(F14:F23)</f>
        <v>30901000</v>
      </c>
    </row>
  </sheetData>
  <mergeCells count="7">
    <mergeCell ref="A27:B27"/>
    <mergeCell ref="A1:G1"/>
    <mergeCell ref="A12:A13"/>
    <mergeCell ref="B12:B13"/>
    <mergeCell ref="C12:D12"/>
    <mergeCell ref="E12:F12"/>
    <mergeCell ref="A26:B2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288F-EA89-4E2B-89F8-ECD01C4A8C6A}">
  <dimension ref="A1:H27"/>
  <sheetViews>
    <sheetView topLeftCell="A16" workbookViewId="0">
      <selection sqref="A1:H31"/>
    </sheetView>
  </sheetViews>
  <sheetFormatPr defaultRowHeight="14.4" x14ac:dyDescent="0.3"/>
  <cols>
    <col min="1" max="1" width="6" customWidth="1"/>
    <col min="2" max="2" width="25.44140625" customWidth="1"/>
    <col min="3" max="3" width="29.88671875" customWidth="1"/>
    <col min="4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426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>
        <v>1</v>
      </c>
      <c r="C5" s="40" t="s">
        <v>5</v>
      </c>
      <c r="D5" s="6">
        <v>23400000</v>
      </c>
      <c r="E5" s="6">
        <f>23000000*90%</f>
        <v>20700000</v>
      </c>
      <c r="F5" s="6"/>
      <c r="G5" s="7">
        <f>D5-E5-F5</f>
        <v>2700000</v>
      </c>
      <c r="H5" s="7">
        <f>G5/D5*100</f>
        <v>11.538461538461538</v>
      </c>
    </row>
    <row r="6" spans="1:8" ht="21" x14ac:dyDescent="0.4">
      <c r="A6" s="2"/>
      <c r="B6" s="5"/>
      <c r="C6" s="40"/>
      <c r="D6" s="6"/>
      <c r="E6" s="6"/>
      <c r="F6" s="6"/>
      <c r="G6" s="7"/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23400000</v>
      </c>
      <c r="E9" s="19">
        <f>SUM(E5:E8)</f>
        <v>20700000</v>
      </c>
      <c r="F9" s="18"/>
      <c r="G9" s="19">
        <f>SUM(G5:G8)</f>
        <v>2700000</v>
      </c>
      <c r="H9" s="20">
        <f>G9/D9*100</f>
        <v>11.538461538461538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24"/>
      <c r="C14" s="21"/>
      <c r="D14" s="6"/>
      <c r="E14" s="11"/>
      <c r="F14" s="6"/>
      <c r="G14" s="1"/>
    </row>
    <row r="15" spans="1:8" ht="18" x14ac:dyDescent="0.35">
      <c r="A15" s="10">
        <f>A14+1</f>
        <v>2</v>
      </c>
      <c r="B15" s="24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24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24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24"/>
      <c r="C18" s="21"/>
      <c r="D18" s="6"/>
      <c r="E18" s="11"/>
      <c r="F18" s="6"/>
      <c r="G18" s="1"/>
    </row>
    <row r="19" spans="1:7" ht="18" x14ac:dyDescent="0.35">
      <c r="A19" s="10">
        <v>6</v>
      </c>
      <c r="B19" s="24"/>
      <c r="C19" s="11"/>
      <c r="D19" s="6"/>
      <c r="E19" s="11"/>
      <c r="F19" s="6"/>
      <c r="G19" s="1"/>
    </row>
    <row r="20" spans="1:7" ht="18" x14ac:dyDescent="0.35">
      <c r="A20" s="10"/>
      <c r="B20" s="24"/>
      <c r="C20" s="11"/>
      <c r="D20" s="6"/>
      <c r="E20" s="11"/>
      <c r="F20" s="6"/>
    </row>
    <row r="21" spans="1:7" ht="18" x14ac:dyDescent="0.35">
      <c r="A21" s="10"/>
      <c r="B21" s="24"/>
      <c r="C21" s="11"/>
      <c r="D21" s="6"/>
      <c r="E21" s="11"/>
      <c r="F21" s="6"/>
    </row>
    <row r="22" spans="1:7" ht="18" x14ac:dyDescent="0.35">
      <c r="A22" s="10"/>
      <c r="B22" s="24"/>
      <c r="C22" s="11"/>
      <c r="D22" s="6"/>
      <c r="E22" s="11"/>
      <c r="F22" s="6"/>
    </row>
    <row r="23" spans="1:7" ht="18" x14ac:dyDescent="0.35">
      <c r="A23" s="10"/>
      <c r="B23" s="24"/>
      <c r="C23" s="11"/>
      <c r="D23" s="6"/>
      <c r="E23" s="11"/>
      <c r="F23" s="6"/>
    </row>
    <row r="24" spans="1:7" ht="18" x14ac:dyDescent="0.35">
      <c r="A24" s="10"/>
      <c r="B24" s="9" t="s">
        <v>90</v>
      </c>
      <c r="C24" s="11"/>
      <c r="D24" s="6"/>
      <c r="E24" s="11"/>
      <c r="F24" s="6">
        <f>CIH!N69</f>
        <v>140000</v>
      </c>
    </row>
    <row r="25" spans="1:7" ht="18" x14ac:dyDescent="0.35">
      <c r="A25" s="12"/>
      <c r="B25" s="13"/>
      <c r="C25" s="12"/>
      <c r="D25" s="6"/>
      <c r="E25" s="14"/>
      <c r="F25" s="12"/>
    </row>
    <row r="26" spans="1:7" ht="18" x14ac:dyDescent="0.35">
      <c r="A26" s="54" t="s">
        <v>1</v>
      </c>
      <c r="B26" s="54"/>
      <c r="C26" s="12"/>
      <c r="D26" s="15">
        <f>SUM(D14:D25)</f>
        <v>0</v>
      </c>
      <c r="E26" s="16"/>
      <c r="F26" s="15">
        <f>SUM(F14:F25)</f>
        <v>140000</v>
      </c>
    </row>
    <row r="27" spans="1:7" ht="18" x14ac:dyDescent="0.35">
      <c r="A27" s="54" t="s">
        <v>17</v>
      </c>
      <c r="B27" s="54"/>
      <c r="C27" s="12"/>
      <c r="D27" s="15">
        <f>D9-D26</f>
        <v>23400000</v>
      </c>
      <c r="E27" s="16"/>
      <c r="F27" s="15"/>
    </row>
  </sheetData>
  <mergeCells count="7">
    <mergeCell ref="A27:B27"/>
    <mergeCell ref="A1:G1"/>
    <mergeCell ref="A12:A13"/>
    <mergeCell ref="B12:B13"/>
    <mergeCell ref="C12:D12"/>
    <mergeCell ref="E12:F12"/>
    <mergeCell ref="A26:B2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8A5A-178A-4132-9585-405E5290B2BF}">
  <dimension ref="A1:H23"/>
  <sheetViews>
    <sheetView topLeftCell="A12" workbookViewId="0">
      <selection sqref="A1:I25"/>
    </sheetView>
  </sheetViews>
  <sheetFormatPr defaultRowHeight="14.4" x14ac:dyDescent="0.3"/>
  <cols>
    <col min="1" max="1" width="6" customWidth="1"/>
    <col min="2" max="2" width="13.66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25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26</v>
      </c>
      <c r="D5" s="6">
        <v>6000000</v>
      </c>
      <c r="E5" s="6">
        <v>3200000</v>
      </c>
      <c r="F5" s="6"/>
      <c r="G5" s="7">
        <f>D5-E5-F5</f>
        <v>2800000</v>
      </c>
      <c r="H5" s="7">
        <f>G5/D5*100</f>
        <v>46.666666666666664</v>
      </c>
    </row>
    <row r="6" spans="1:8" ht="21" x14ac:dyDescent="0.4">
      <c r="A6" s="2"/>
      <c r="B6" s="5"/>
      <c r="C6" s="5" t="s">
        <v>157</v>
      </c>
      <c r="D6" s="6">
        <f>1750000*2</f>
        <v>3500000</v>
      </c>
      <c r="E6" s="6">
        <v>1700000</v>
      </c>
      <c r="F6" s="6"/>
      <c r="G6" s="7">
        <f>D6-E6-F6</f>
        <v>1800000</v>
      </c>
      <c r="H6" s="7">
        <f>G6/D6*100</f>
        <v>51.428571428571423</v>
      </c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9500000</v>
      </c>
      <c r="E9" s="19">
        <f>SUM(E5:E8)</f>
        <v>4900000</v>
      </c>
      <c r="F9" s="18"/>
      <c r="G9" s="19">
        <f>SUM(G5:G8)</f>
        <v>4600000</v>
      </c>
      <c r="H9" s="20">
        <f>G9/D9*100</f>
        <v>48.421052631578945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117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46171</v>
      </c>
      <c r="D14" s="6">
        <v>3000000</v>
      </c>
      <c r="E14" s="11"/>
      <c r="F14" s="6"/>
      <c r="G14" s="1"/>
    </row>
    <row r="15" spans="1:8" ht="18" x14ac:dyDescent="0.35">
      <c r="A15" s="10">
        <f>A14+1</f>
        <v>2</v>
      </c>
      <c r="B15" s="9" t="s">
        <v>81</v>
      </c>
      <c r="C15" s="21"/>
      <c r="D15" s="6"/>
      <c r="E15" s="11">
        <v>46214</v>
      </c>
      <c r="F15" s="6">
        <v>3200000</v>
      </c>
      <c r="G15" s="1"/>
    </row>
    <row r="16" spans="1:8" ht="18" x14ac:dyDescent="0.35">
      <c r="A16" s="10">
        <f>A15+1</f>
        <v>3</v>
      </c>
      <c r="B16" s="9" t="s">
        <v>158</v>
      </c>
      <c r="C16" s="21">
        <v>46226</v>
      </c>
      <c r="D16" s="6">
        <v>1750000</v>
      </c>
      <c r="E16" s="11"/>
      <c r="F16" s="6"/>
      <c r="G16" s="1"/>
    </row>
    <row r="17" spans="1:7" ht="18" x14ac:dyDescent="0.35">
      <c r="A17" s="10">
        <f>A16+1</f>
        <v>4</v>
      </c>
      <c r="B17" s="9" t="s">
        <v>81</v>
      </c>
      <c r="C17" s="21"/>
      <c r="D17" s="6"/>
      <c r="E17" s="11">
        <v>46277</v>
      </c>
      <c r="F17" s="6">
        <v>1700000</v>
      </c>
      <c r="G17" s="1"/>
    </row>
    <row r="18" spans="1:7" ht="18" x14ac:dyDescent="0.35">
      <c r="A18" s="10"/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/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4750000</v>
      </c>
      <c r="E22" s="16"/>
      <c r="F22" s="15">
        <f>SUM(F14:F21)</f>
        <v>4900000</v>
      </c>
    </row>
    <row r="23" spans="1:7" ht="18" x14ac:dyDescent="0.35">
      <c r="A23" s="54" t="s">
        <v>17</v>
      </c>
      <c r="B23" s="54"/>
      <c r="C23" s="12"/>
      <c r="D23" s="15">
        <f>D9-D22</f>
        <v>4750000</v>
      </c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28B9-8F20-42D5-8636-7095895D160C}">
  <dimension ref="A1:H23"/>
  <sheetViews>
    <sheetView topLeftCell="A8" workbookViewId="0">
      <selection sqref="A1:H25"/>
    </sheetView>
  </sheetViews>
  <sheetFormatPr defaultRowHeight="14.4" x14ac:dyDescent="0.3"/>
  <cols>
    <col min="1" max="1" width="6" customWidth="1"/>
    <col min="2" max="2" width="17.8867187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82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1200000</v>
      </c>
      <c r="E5" s="6"/>
      <c r="F5" s="6"/>
      <c r="G5" s="7">
        <f>D5-E5-F5</f>
        <v>1200000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1200000</v>
      </c>
      <c r="E9" s="19">
        <f>SUM(E5:E8)</f>
        <v>0</v>
      </c>
      <c r="F9" s="18"/>
      <c r="G9" s="19">
        <f>SUM(G5:G8)</f>
        <v>1200000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46210</v>
      </c>
      <c r="D14" s="6">
        <v>600000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600000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/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02C1-36EC-4428-894A-A3743D3664BD}">
  <dimension ref="A1:H23"/>
  <sheetViews>
    <sheetView topLeftCell="A12" workbookViewId="0">
      <selection sqref="A1:H26"/>
    </sheetView>
  </sheetViews>
  <sheetFormatPr defaultRowHeight="14.4" x14ac:dyDescent="0.3"/>
  <cols>
    <col min="1" max="1" width="6" customWidth="1"/>
    <col min="2" max="2" width="19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159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f>4200000*2</f>
        <v>8400000</v>
      </c>
      <c r="E5" s="6">
        <f>177.5*30000</f>
        <v>5325000</v>
      </c>
      <c r="F5" s="6"/>
      <c r="G5" s="7">
        <f>D5-E5-F5</f>
        <v>3075000</v>
      </c>
      <c r="H5" s="7">
        <f>G5/D5*100</f>
        <v>36.607142857142854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8400000</v>
      </c>
      <c r="E9" s="19">
        <f>SUM(E5:E8)</f>
        <v>5325000</v>
      </c>
      <c r="F9" s="18"/>
      <c r="G9" s="19">
        <f>SUM(G5:G8)</f>
        <v>3075000</v>
      </c>
      <c r="H9" s="20">
        <f>G9/D9*100</f>
        <v>36.607142857142854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24" t="s">
        <v>15</v>
      </c>
      <c r="C14" s="21">
        <v>46233</v>
      </c>
      <c r="D14" s="6">
        <v>4200000</v>
      </c>
      <c r="E14" s="11"/>
      <c r="F14" s="6"/>
      <c r="G14" s="1"/>
    </row>
    <row r="15" spans="1:8" ht="18" x14ac:dyDescent="0.35">
      <c r="A15" s="10">
        <f>A14+1</f>
        <v>2</v>
      </c>
      <c r="B15" s="24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4200000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>
        <f>D9-D22</f>
        <v>4200000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05A8-69A0-4719-B8B9-2059C62B575E}">
  <sheetPr>
    <tabColor rgb="FF9BFF21"/>
  </sheetPr>
  <dimension ref="A1:H23"/>
  <sheetViews>
    <sheetView topLeftCell="A10" workbookViewId="0">
      <selection activeCell="C27" sqref="C27"/>
    </sheetView>
  </sheetViews>
  <sheetFormatPr defaultRowHeight="14.4" x14ac:dyDescent="0.3"/>
  <cols>
    <col min="1" max="1" width="6" customWidth="1"/>
    <col min="2" max="2" width="19.441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164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5</v>
      </c>
      <c r="D5" s="6">
        <v>6407500</v>
      </c>
      <c r="E5" s="6"/>
      <c r="F5" s="6"/>
      <c r="G5" s="7">
        <f>D5-E5-F5</f>
        <v>6407500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6407500</v>
      </c>
      <c r="E9" s="19">
        <f>SUM(E5:E8)</f>
        <v>0</v>
      </c>
      <c r="F9" s="18"/>
      <c r="G9" s="19">
        <f>SUM(G5:G8)</f>
        <v>6407500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55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24" t="s">
        <v>15</v>
      </c>
      <c r="C14" s="21">
        <v>46241</v>
      </c>
      <c r="D14" s="6">
        <f>D5/2</f>
        <v>3203750</v>
      </c>
      <c r="E14" s="11"/>
      <c r="F14" s="6"/>
      <c r="G14" s="1"/>
    </row>
    <row r="15" spans="1:8" ht="18" x14ac:dyDescent="0.35">
      <c r="A15" s="10">
        <f>A14+1</f>
        <v>2</v>
      </c>
      <c r="B15" s="24" t="s">
        <v>34</v>
      </c>
      <c r="C15" s="21">
        <v>46263</v>
      </c>
      <c r="D15" s="6">
        <v>3203750</v>
      </c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CIH!N56</f>
        <v>9500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6407500</v>
      </c>
      <c r="E22" s="16"/>
      <c r="F22" s="15">
        <f>SUM(F14:F21)</f>
        <v>9500</v>
      </c>
    </row>
    <row r="23" spans="1:7" ht="18" x14ac:dyDescent="0.35">
      <c r="A23" s="54" t="s">
        <v>17</v>
      </c>
      <c r="B23" s="54"/>
      <c r="C23" s="12"/>
      <c r="D23" s="15">
        <f>D9-D22</f>
        <v>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E5F8-2428-4925-96EC-9B473ACD80E7}">
  <dimension ref="A1:H23"/>
  <sheetViews>
    <sheetView topLeftCell="A6" workbookViewId="0">
      <selection sqref="A1:H26"/>
    </sheetView>
  </sheetViews>
  <sheetFormatPr defaultRowHeight="14.4" x14ac:dyDescent="0.3"/>
  <cols>
    <col min="1" max="1" width="6" customWidth="1"/>
    <col min="2" max="2" width="18.66406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296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24000000</v>
      </c>
      <c r="E5" s="6"/>
      <c r="F5" s="6"/>
      <c r="G5" s="7">
        <f>D5-E5-F5</f>
        <v>24000000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24000000</v>
      </c>
      <c r="E9" s="19">
        <f>SUM(E5:E8)</f>
        <v>0</v>
      </c>
      <c r="F9" s="18"/>
      <c r="G9" s="19">
        <f>SUM(G5:G8)</f>
        <v>24000000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46270</v>
      </c>
      <c r="D14" s="6">
        <v>12000000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CIH!N60</f>
        <v>46000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12000000</v>
      </c>
      <c r="E22" s="16"/>
      <c r="F22" s="15">
        <f>SUM(F14:F21)</f>
        <v>46000</v>
      </c>
    </row>
    <row r="23" spans="1:7" ht="18" x14ac:dyDescent="0.35">
      <c r="A23" s="54"/>
      <c r="B23" s="54"/>
      <c r="C23" s="12"/>
      <c r="D23" s="15"/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58A2-8D4D-4745-9D52-32125C6CB11A}">
  <dimension ref="A1:H23"/>
  <sheetViews>
    <sheetView topLeftCell="A15" workbookViewId="0">
      <selection sqref="A1:I24"/>
    </sheetView>
  </sheetViews>
  <sheetFormatPr defaultRowHeight="14.4" x14ac:dyDescent="0.3"/>
  <cols>
    <col min="1" max="1" width="6" customWidth="1"/>
    <col min="2" max="2" width="20.8867187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297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13000000</v>
      </c>
      <c r="E5" s="6"/>
      <c r="F5" s="6"/>
      <c r="G5" s="7">
        <f>D5-E5-F5</f>
        <v>13000000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13000000</v>
      </c>
      <c r="E9" s="19">
        <f>SUM(E5:E8)</f>
        <v>0</v>
      </c>
      <c r="F9" s="18"/>
      <c r="G9" s="19">
        <f>SUM(G5:G8)</f>
        <v>13000000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46270</v>
      </c>
      <c r="D14" s="6">
        <v>6500000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CIH!N59</f>
        <v>119000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6500000</v>
      </c>
      <c r="E22" s="16"/>
      <c r="F22" s="15">
        <f>SUM(F14:F21)</f>
        <v>119000</v>
      </c>
    </row>
    <row r="23" spans="1:7" ht="18" x14ac:dyDescent="0.35">
      <c r="A23" s="54"/>
      <c r="B23" s="54"/>
      <c r="C23" s="12"/>
      <c r="D23" s="15"/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96A6-F308-4B12-B61E-4F37BBC4B9B0}">
  <dimension ref="A1:H23"/>
  <sheetViews>
    <sheetView topLeftCell="A10" workbookViewId="0">
      <selection activeCell="F20" sqref="F20"/>
    </sheetView>
  </sheetViews>
  <sheetFormatPr defaultRowHeight="14.4" x14ac:dyDescent="0.3"/>
  <cols>
    <col min="1" max="1" width="6" customWidth="1"/>
    <col min="2" max="2" width="17.8867187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298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f>920000*2</f>
        <v>1840000</v>
      </c>
      <c r="E5" s="6"/>
      <c r="F5" s="6"/>
      <c r="G5" s="7">
        <f>D5-E5-F5</f>
        <v>1840000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1840000</v>
      </c>
      <c r="E9" s="19">
        <f>SUM(E5:E8)</f>
        <v>0</v>
      </c>
      <c r="F9" s="18"/>
      <c r="G9" s="19">
        <f>SUM(G5:G8)</f>
        <v>1840000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46273</v>
      </c>
      <c r="D14" s="6">
        <v>920000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404</v>
      </c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920000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/>
      <c r="E23" s="16"/>
      <c r="F23" s="15">
        <f>E9-F22</f>
        <v>0</v>
      </c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1C9F-C1B4-4134-8615-7A0541291255}">
  <dimension ref="A1:H23"/>
  <sheetViews>
    <sheetView topLeftCell="A10" workbookViewId="0">
      <selection activeCell="F24" sqref="F24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299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f>9000000*2</f>
        <v>18000000</v>
      </c>
      <c r="E5" s="6"/>
      <c r="F5" s="6"/>
      <c r="G5" s="7">
        <f>D5-E5-F5</f>
        <v>18000000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18000000</v>
      </c>
      <c r="E9" s="19">
        <f>SUM(E5:E8)</f>
        <v>0</v>
      </c>
      <c r="F9" s="18"/>
      <c r="G9" s="19">
        <f>SUM(G5:G8)</f>
        <v>18000000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46274</v>
      </c>
      <c r="D14" s="6">
        <v>9000000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CIH!N58</f>
        <v>279000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9000000</v>
      </c>
      <c r="E22" s="16"/>
      <c r="F22" s="15">
        <f>SUM(F14:F21)</f>
        <v>279000</v>
      </c>
    </row>
    <row r="23" spans="1:7" ht="18" x14ac:dyDescent="0.35">
      <c r="A23" s="54" t="s">
        <v>17</v>
      </c>
      <c r="B23" s="54"/>
      <c r="C23" s="12"/>
      <c r="D23" s="15"/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F29A-CF99-48ED-BB6C-CB69AEC4E06F}">
  <dimension ref="A1:H23"/>
  <sheetViews>
    <sheetView workbookViewId="0">
      <selection activeCell="E6" sqref="E6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308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f>3570000*2</f>
        <v>7140000</v>
      </c>
      <c r="E5" s="6">
        <f>136.5*30000</f>
        <v>4095000</v>
      </c>
      <c r="F5" s="6"/>
      <c r="G5" s="7">
        <f>D5-E5-F5</f>
        <v>3045000</v>
      </c>
      <c r="H5" s="7">
        <f>G5/D5*100</f>
        <v>42.647058823529413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7140000</v>
      </c>
      <c r="E9" s="19">
        <f>SUM(E5:E8)</f>
        <v>4095000</v>
      </c>
      <c r="F9" s="18"/>
      <c r="G9" s="19">
        <f>SUM(G5:G8)</f>
        <v>3045000</v>
      </c>
      <c r="H9" s="20">
        <f>G9/D9*100</f>
        <v>42.647058823529413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46274</v>
      </c>
      <c r="D14" s="6">
        <v>3570000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CIH!N61</f>
        <v>50000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3570000</v>
      </c>
      <c r="E22" s="16"/>
      <c r="F22" s="15">
        <f>SUM(F14:F21)</f>
        <v>50000</v>
      </c>
    </row>
    <row r="23" spans="1:7" ht="18" x14ac:dyDescent="0.35">
      <c r="A23" s="54" t="s">
        <v>17</v>
      </c>
      <c r="B23" s="54"/>
      <c r="C23" s="12"/>
      <c r="D23" s="15"/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0379-0F23-4E93-A1E4-EBD929D80E53}">
  <dimension ref="A1:H25"/>
  <sheetViews>
    <sheetView topLeftCell="A4" workbookViewId="0">
      <selection activeCell="E8" sqref="E8"/>
    </sheetView>
  </sheetViews>
  <sheetFormatPr defaultRowHeight="14.4" x14ac:dyDescent="0.3"/>
  <cols>
    <col min="1" max="1" width="6" customWidth="1"/>
    <col min="2" max="2" width="18.6640625" customWidth="1"/>
    <col min="3" max="3" width="26.44140625" customWidth="1"/>
    <col min="4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30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>
        <v>1</v>
      </c>
      <c r="C5" s="5" t="s">
        <v>31</v>
      </c>
      <c r="D5" s="6">
        <f>D15+D17</f>
        <v>1925000</v>
      </c>
      <c r="E5" s="6"/>
      <c r="F5" s="6"/>
      <c r="G5" s="7">
        <f>D5-E5-F5</f>
        <v>1925000</v>
      </c>
      <c r="H5" s="7">
        <f>G5/D5*100</f>
        <v>100</v>
      </c>
    </row>
    <row r="6" spans="1:8" ht="21" x14ac:dyDescent="0.4">
      <c r="A6" s="2"/>
      <c r="B6" s="5">
        <v>2</v>
      </c>
      <c r="C6" s="5" t="s">
        <v>32</v>
      </c>
      <c r="D6" s="6">
        <f>D16+D18</f>
        <v>3016000</v>
      </c>
      <c r="E6" s="6"/>
      <c r="F6" s="6"/>
      <c r="G6" s="7">
        <f>D6-E6-F6</f>
        <v>3016000</v>
      </c>
      <c r="H6" s="7">
        <f>G6/D6*100</f>
        <v>100</v>
      </c>
    </row>
    <row r="7" spans="1:8" ht="21" x14ac:dyDescent="0.4">
      <c r="A7" s="2"/>
      <c r="B7" s="5">
        <v>3</v>
      </c>
      <c r="C7" s="5" t="s">
        <v>235</v>
      </c>
      <c r="D7" s="6">
        <v>900000</v>
      </c>
      <c r="E7" s="6">
        <v>0</v>
      </c>
      <c r="F7" s="5"/>
      <c r="G7" s="7">
        <f>D7-E7-F7</f>
        <v>900000</v>
      </c>
      <c r="H7" s="7">
        <f>G7/D7*100</f>
        <v>100</v>
      </c>
    </row>
    <row r="8" spans="1:8" ht="21" x14ac:dyDescent="0.4">
      <c r="A8" s="2"/>
      <c r="B8" s="5">
        <v>4</v>
      </c>
      <c r="C8" s="5" t="s">
        <v>341</v>
      </c>
      <c r="D8" s="6">
        <v>4860000</v>
      </c>
      <c r="E8" s="6"/>
      <c r="F8" s="5"/>
      <c r="G8" s="7">
        <f>D8-E8-F8</f>
        <v>4860000</v>
      </c>
      <c r="H8" s="7">
        <f>G8/D8*100</f>
        <v>100</v>
      </c>
    </row>
    <row r="9" spans="1:8" ht="21" x14ac:dyDescent="0.4">
      <c r="A9" s="2"/>
      <c r="B9" s="5"/>
      <c r="C9" s="5"/>
      <c r="D9" s="5"/>
      <c r="E9" s="5"/>
      <c r="F9" s="5"/>
      <c r="G9" s="5"/>
      <c r="H9" s="7">
        <v>0</v>
      </c>
    </row>
    <row r="10" spans="1:8" ht="21" x14ac:dyDescent="0.4">
      <c r="A10" s="2"/>
      <c r="B10" s="5"/>
      <c r="C10" s="18" t="s">
        <v>7</v>
      </c>
      <c r="D10" s="19">
        <f>SUM(D5:D9)</f>
        <v>10701000</v>
      </c>
      <c r="E10" s="19">
        <f>SUM(E5:E9)</f>
        <v>0</v>
      </c>
      <c r="F10" s="18"/>
      <c r="G10" s="19">
        <f>SUM(G5:G9)</f>
        <v>10701000</v>
      </c>
      <c r="H10" s="20">
        <f>G10/D10*100</f>
        <v>100</v>
      </c>
    </row>
    <row r="11" spans="1:8" ht="21" x14ac:dyDescent="0.4">
      <c r="A11" s="2"/>
      <c r="B11" s="2"/>
      <c r="C11" s="2"/>
      <c r="D11" s="17"/>
      <c r="E11" s="17"/>
      <c r="F11" s="2"/>
      <c r="G11" s="17"/>
    </row>
    <row r="12" spans="1:8" ht="21" x14ac:dyDescent="0.4">
      <c r="A12" s="2"/>
      <c r="B12" s="2"/>
      <c r="C12" s="2"/>
      <c r="D12" s="2"/>
      <c r="E12" s="2"/>
      <c r="F12" s="2"/>
      <c r="G12" s="2"/>
    </row>
    <row r="13" spans="1:8" ht="18" x14ac:dyDescent="0.35">
      <c r="A13" s="52" t="s">
        <v>0</v>
      </c>
      <c r="B13" s="52" t="s">
        <v>6</v>
      </c>
      <c r="C13" s="67" t="s">
        <v>4</v>
      </c>
      <c r="D13" s="67"/>
      <c r="E13" s="67" t="s">
        <v>18</v>
      </c>
      <c r="F13" s="67"/>
    </row>
    <row r="14" spans="1:8" ht="18" x14ac:dyDescent="0.35">
      <c r="A14" s="52"/>
      <c r="B14" s="52"/>
      <c r="C14" s="8" t="s">
        <v>2</v>
      </c>
      <c r="D14" s="9" t="s">
        <v>3</v>
      </c>
      <c r="E14" s="8" t="s">
        <v>2</v>
      </c>
      <c r="F14" s="9" t="s">
        <v>3</v>
      </c>
      <c r="G14" s="1"/>
    </row>
    <row r="15" spans="1:8" ht="18" x14ac:dyDescent="0.35">
      <c r="A15" s="10">
        <v>1</v>
      </c>
      <c r="B15" s="9" t="s">
        <v>181</v>
      </c>
      <c r="C15" s="21">
        <v>46197</v>
      </c>
      <c r="D15" s="6">
        <v>960000</v>
      </c>
      <c r="E15" s="11"/>
      <c r="F15" s="6"/>
      <c r="G15" s="1"/>
    </row>
    <row r="16" spans="1:8" ht="18" x14ac:dyDescent="0.35">
      <c r="A16" s="10">
        <f>A15+1</f>
        <v>2</v>
      </c>
      <c r="B16" s="9" t="s">
        <v>182</v>
      </c>
      <c r="C16" s="21">
        <v>46197</v>
      </c>
      <c r="D16" s="6">
        <v>1140000</v>
      </c>
      <c r="E16" s="11"/>
      <c r="F16" s="6"/>
      <c r="G16" s="1"/>
    </row>
    <row r="17" spans="1:7" ht="18" x14ac:dyDescent="0.35">
      <c r="A17" s="10">
        <f>A16+1</f>
        <v>3</v>
      </c>
      <c r="B17" s="9" t="s">
        <v>184</v>
      </c>
      <c r="C17" s="21">
        <v>46223</v>
      </c>
      <c r="D17" s="6">
        <v>965000</v>
      </c>
      <c r="E17" s="11"/>
      <c r="F17" s="6"/>
      <c r="G17" s="1"/>
    </row>
    <row r="18" spans="1:7" ht="18" x14ac:dyDescent="0.35">
      <c r="A18" s="10">
        <f>A17+1</f>
        <v>4</v>
      </c>
      <c r="B18" s="9" t="s">
        <v>183</v>
      </c>
      <c r="C18" s="21">
        <v>46244</v>
      </c>
      <c r="D18" s="6">
        <v>1876000</v>
      </c>
      <c r="E18" s="11"/>
      <c r="F18" s="6"/>
      <c r="G18" s="1"/>
    </row>
    <row r="19" spans="1:7" ht="18" x14ac:dyDescent="0.35">
      <c r="A19" s="10">
        <f>A18+1</f>
        <v>5</v>
      </c>
      <c r="B19" s="9" t="s">
        <v>236</v>
      </c>
      <c r="C19" s="11">
        <v>46255</v>
      </c>
      <c r="D19" s="6">
        <v>900000</v>
      </c>
      <c r="E19" s="11"/>
      <c r="F19" s="6"/>
      <c r="G19" s="1"/>
    </row>
    <row r="20" spans="1:7" ht="18" x14ac:dyDescent="0.35">
      <c r="A20" s="10">
        <v>6</v>
      </c>
      <c r="B20" s="9" t="s">
        <v>342</v>
      </c>
      <c r="C20" s="11">
        <v>46282</v>
      </c>
      <c r="D20" s="6">
        <v>2430000</v>
      </c>
      <c r="E20" s="11"/>
      <c r="F20" s="6"/>
      <c r="G20" s="1"/>
    </row>
    <row r="21" spans="1:7" ht="18" x14ac:dyDescent="0.35">
      <c r="A21" s="10"/>
      <c r="B21" s="9"/>
      <c r="C21" s="11"/>
      <c r="D21" s="6"/>
      <c r="E21" s="11"/>
      <c r="F21" s="6"/>
      <c r="G21" s="1"/>
    </row>
    <row r="22" spans="1:7" ht="18" x14ac:dyDescent="0.35">
      <c r="A22" s="10"/>
      <c r="B22" s="9" t="s">
        <v>90</v>
      </c>
      <c r="C22" s="11"/>
      <c r="D22" s="6"/>
      <c r="E22" s="11"/>
      <c r="F22" s="6">
        <f>CIH!N55</f>
        <v>700000</v>
      </c>
    </row>
    <row r="23" spans="1:7" ht="18" x14ac:dyDescent="0.35">
      <c r="A23" s="12"/>
      <c r="B23" s="13"/>
      <c r="C23" s="12"/>
      <c r="D23" s="6"/>
      <c r="E23" s="14"/>
      <c r="F23" s="12"/>
    </row>
    <row r="24" spans="1:7" ht="18" x14ac:dyDescent="0.35">
      <c r="A24" s="54" t="s">
        <v>1</v>
      </c>
      <c r="B24" s="54"/>
      <c r="C24" s="12"/>
      <c r="D24" s="15">
        <f>SUM(D15:D23)</f>
        <v>8271000</v>
      </c>
      <c r="E24" s="16"/>
      <c r="F24" s="15">
        <f>SUM(F15:F23)</f>
        <v>700000</v>
      </c>
    </row>
    <row r="25" spans="1:7" ht="18" x14ac:dyDescent="0.35">
      <c r="A25" s="54" t="s">
        <v>17</v>
      </c>
      <c r="B25" s="54"/>
      <c r="C25" s="12"/>
      <c r="D25" s="15"/>
      <c r="E25" s="16"/>
      <c r="F25" s="15"/>
    </row>
  </sheetData>
  <mergeCells count="7">
    <mergeCell ref="A25:B25"/>
    <mergeCell ref="A1:G1"/>
    <mergeCell ref="A13:A14"/>
    <mergeCell ref="B13:B14"/>
    <mergeCell ref="C13:D13"/>
    <mergeCell ref="E13:F13"/>
    <mergeCell ref="A24:B2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534B-EA81-4158-A7EB-764030AB5118}">
  <dimension ref="A1:H23"/>
  <sheetViews>
    <sheetView topLeftCell="A10" workbookViewId="0">
      <selection activeCell="D24" sqref="D24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363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11520000</v>
      </c>
      <c r="E5" s="6"/>
      <c r="F5" s="6"/>
      <c r="G5" s="7">
        <f>D5-E5-F5</f>
        <v>11520000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11520000</v>
      </c>
      <c r="E9" s="19">
        <f>SUM(E5:E8)</f>
        <v>0</v>
      </c>
      <c r="F9" s="18"/>
      <c r="G9" s="19">
        <f>SUM(G5:G8)</f>
        <v>11520000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46286</v>
      </c>
      <c r="D14" s="6">
        <v>6000000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6000000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>
        <f>D9-D22</f>
        <v>5520000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AD97-DC3A-4508-8FE1-34825B10DCDD}">
  <dimension ref="A1:H23"/>
  <sheetViews>
    <sheetView workbookViewId="0">
      <selection activeCell="F21" sqref="F21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364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22500000</v>
      </c>
      <c r="E5" s="6"/>
      <c r="F5" s="6"/>
      <c r="G5" s="7">
        <f>D5-E5-F5</f>
        <v>22500000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22500000</v>
      </c>
      <c r="E9" s="19">
        <f>SUM(E5:E8)</f>
        <v>0</v>
      </c>
      <c r="F9" s="18"/>
      <c r="G9" s="19">
        <f>SUM(G5:G8)</f>
        <v>22500000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46286</v>
      </c>
      <c r="D14" s="6">
        <v>13500000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CIH!N65</f>
        <v>333000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13500000</v>
      </c>
      <c r="E22" s="16"/>
      <c r="F22" s="15">
        <f>SUM(F14:F21)</f>
        <v>333000</v>
      </c>
    </row>
    <row r="23" spans="1:7" ht="18" x14ac:dyDescent="0.35">
      <c r="A23" s="54" t="s">
        <v>17</v>
      </c>
      <c r="B23" s="54"/>
      <c r="C23" s="12"/>
      <c r="D23" s="15">
        <f>D9-D22</f>
        <v>9000000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85AE-69F1-49B9-8FAB-01A47DC5FB7A}">
  <dimension ref="A1:H23"/>
  <sheetViews>
    <sheetView workbookViewId="0">
      <selection activeCell="F20" sqref="F20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376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f>2172500*2</f>
        <v>4345000</v>
      </c>
      <c r="E5" s="6"/>
      <c r="F5" s="6"/>
      <c r="G5" s="7">
        <f>D5-E5-F5</f>
        <v>4345000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4345000</v>
      </c>
      <c r="E9" s="19">
        <f>SUM(E5:E8)</f>
        <v>0</v>
      </c>
      <c r="F9" s="18"/>
      <c r="G9" s="19">
        <f>SUM(G5:G8)</f>
        <v>4345000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46291</v>
      </c>
      <c r="D14" s="6">
        <v>2172500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/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2172500</v>
      </c>
      <c r="E22" s="16"/>
      <c r="F22" s="15">
        <f>SUM(F14:F21)</f>
        <v>0</v>
      </c>
    </row>
    <row r="23" spans="1:7" ht="18" x14ac:dyDescent="0.35">
      <c r="A23" s="54" t="s">
        <v>17</v>
      </c>
      <c r="B23" s="54"/>
      <c r="C23" s="12"/>
      <c r="D23" s="15">
        <f>D9-D22</f>
        <v>2172500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FF2B-3427-4C4D-A24B-560C1322DD2F}">
  <dimension ref="A1:H23"/>
  <sheetViews>
    <sheetView topLeftCell="A13" workbookViewId="0">
      <selection activeCell="F21" sqref="F21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399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3360000</v>
      </c>
      <c r="E5" s="6"/>
      <c r="F5" s="6"/>
      <c r="G5" s="7">
        <f>D5-E5-F5</f>
        <v>3360000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3360000</v>
      </c>
      <c r="E9" s="19">
        <f>SUM(E5:E8)</f>
        <v>0</v>
      </c>
      <c r="F9" s="18"/>
      <c r="G9" s="19">
        <f>SUM(G5:G8)</f>
        <v>3360000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46301</v>
      </c>
      <c r="D14" s="6">
        <v>1680000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CIH!N67</f>
        <v>252300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1680000</v>
      </c>
      <c r="E22" s="16"/>
      <c r="F22" s="15">
        <f>SUM(F14:F21)</f>
        <v>252300</v>
      </c>
    </row>
    <row r="23" spans="1:7" ht="18" x14ac:dyDescent="0.35">
      <c r="A23" s="54" t="s">
        <v>17</v>
      </c>
      <c r="B23" s="54"/>
      <c r="C23" s="12"/>
      <c r="D23" s="15">
        <f>D9-D22</f>
        <v>1680000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307F-9721-4802-8B73-9545BB21FCE1}">
  <dimension ref="A1"/>
  <sheetViews>
    <sheetView workbookViewId="0">
      <selection activeCell="N25" sqref="N25"/>
    </sheetView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5557-437D-491A-9F29-4CA0A0D5F3D2}">
  <dimension ref="A1:H23"/>
  <sheetViews>
    <sheetView topLeftCell="A10" workbookViewId="0">
      <selection activeCell="F21" sqref="F21"/>
    </sheetView>
  </sheetViews>
  <sheetFormatPr defaultRowHeight="14.4" x14ac:dyDescent="0.3"/>
  <cols>
    <col min="1" max="1" width="6" customWidth="1"/>
    <col min="2" max="2" width="21.33203125" customWidth="1"/>
    <col min="3" max="4" width="24.6640625" customWidth="1"/>
    <col min="5" max="5" width="24.109375" customWidth="1"/>
    <col min="6" max="6" width="22.109375" customWidth="1"/>
    <col min="7" max="7" width="25.33203125" customWidth="1"/>
    <col min="8" max="8" width="14.6640625" customWidth="1"/>
  </cols>
  <sheetData>
    <row r="1" spans="1:8" ht="21" x14ac:dyDescent="0.4">
      <c r="A1" s="66" t="s">
        <v>402</v>
      </c>
      <c r="B1" s="66"/>
      <c r="C1" s="66"/>
      <c r="D1" s="66"/>
      <c r="E1" s="66"/>
      <c r="F1" s="66"/>
      <c r="G1" s="66"/>
    </row>
    <row r="2" spans="1:8" ht="21" x14ac:dyDescent="0.4">
      <c r="A2" s="2"/>
      <c r="B2" s="2"/>
      <c r="C2" s="2"/>
      <c r="D2" s="2"/>
      <c r="E2" s="2"/>
      <c r="F2" s="2"/>
      <c r="G2" s="2"/>
    </row>
    <row r="3" spans="1:8" ht="21" x14ac:dyDescent="0.4">
      <c r="A3" s="2"/>
      <c r="B3" s="2"/>
      <c r="C3" s="2"/>
      <c r="D3" s="2"/>
      <c r="E3" s="2"/>
      <c r="F3" s="2"/>
      <c r="G3" s="2"/>
    </row>
    <row r="4" spans="1:8" ht="21" x14ac:dyDescent="0.4">
      <c r="A4" s="2"/>
      <c r="B4" s="5" t="s">
        <v>10</v>
      </c>
      <c r="C4" s="5" t="s">
        <v>6</v>
      </c>
      <c r="D4" s="5" t="s">
        <v>8</v>
      </c>
      <c r="E4" s="5" t="s">
        <v>9</v>
      </c>
      <c r="F4" s="5" t="s">
        <v>13</v>
      </c>
      <c r="G4" s="5" t="s">
        <v>11</v>
      </c>
      <c r="H4" s="5" t="s">
        <v>12</v>
      </c>
    </row>
    <row r="5" spans="1:8" ht="21" x14ac:dyDescent="0.4">
      <c r="A5" s="2"/>
      <c r="B5" s="5"/>
      <c r="C5" s="5" t="s">
        <v>83</v>
      </c>
      <c r="D5" s="6">
        <v>6253750</v>
      </c>
      <c r="E5" s="6"/>
      <c r="F5" s="6"/>
      <c r="G5" s="7">
        <f>D5-E5-F5</f>
        <v>6253750</v>
      </c>
      <c r="H5" s="7">
        <f>G5/D5*100</f>
        <v>100</v>
      </c>
    </row>
    <row r="6" spans="1:8" ht="21" x14ac:dyDescent="0.4">
      <c r="A6" s="2"/>
      <c r="B6" s="5"/>
      <c r="C6" s="5"/>
      <c r="D6" s="6"/>
      <c r="E6" s="6"/>
      <c r="F6" s="6"/>
      <c r="G6" s="7">
        <f>D6-E6-F6</f>
        <v>0</v>
      </c>
      <c r="H6" s="7"/>
    </row>
    <row r="7" spans="1:8" ht="21" x14ac:dyDescent="0.4">
      <c r="A7" s="2"/>
      <c r="B7" s="5"/>
      <c r="C7" s="5"/>
      <c r="D7" s="6"/>
      <c r="E7" s="5"/>
      <c r="F7" s="5"/>
      <c r="G7" s="7"/>
      <c r="H7" s="7"/>
    </row>
    <row r="8" spans="1:8" ht="21" x14ac:dyDescent="0.4">
      <c r="A8" s="2"/>
      <c r="B8" s="5"/>
      <c r="C8" s="5"/>
      <c r="D8" s="5"/>
      <c r="E8" s="5"/>
      <c r="F8" s="5"/>
      <c r="G8" s="5"/>
      <c r="H8" s="7">
        <v>0</v>
      </c>
    </row>
    <row r="9" spans="1:8" ht="21" x14ac:dyDescent="0.4">
      <c r="A9" s="2"/>
      <c r="B9" s="5"/>
      <c r="C9" s="18" t="s">
        <v>7</v>
      </c>
      <c r="D9" s="19">
        <f>SUM(D5:D8)</f>
        <v>6253750</v>
      </c>
      <c r="E9" s="19">
        <f>SUM(E5:E8)</f>
        <v>0</v>
      </c>
      <c r="F9" s="18"/>
      <c r="G9" s="19">
        <f>SUM(G5:G8)</f>
        <v>6253750</v>
      </c>
      <c r="H9" s="20">
        <f>G9/D9*100</f>
        <v>100</v>
      </c>
    </row>
    <row r="10" spans="1:8" ht="21" x14ac:dyDescent="0.4">
      <c r="A10" s="2"/>
      <c r="B10" s="2"/>
      <c r="C10" s="2"/>
      <c r="D10" s="17"/>
      <c r="E10" s="17"/>
      <c r="F10" s="2"/>
      <c r="G10" s="17"/>
    </row>
    <row r="11" spans="1:8" ht="21" x14ac:dyDescent="0.4">
      <c r="A11" s="2"/>
      <c r="B11" s="2"/>
      <c r="C11" s="2"/>
      <c r="D11" s="2"/>
      <c r="E11" s="2"/>
      <c r="F11" s="2"/>
      <c r="G11" s="2"/>
    </row>
    <row r="12" spans="1:8" ht="18" x14ac:dyDescent="0.35">
      <c r="A12" s="52" t="s">
        <v>0</v>
      </c>
      <c r="B12" s="52" t="s">
        <v>6</v>
      </c>
      <c r="C12" s="67" t="s">
        <v>4</v>
      </c>
      <c r="D12" s="67"/>
      <c r="E12" s="67" t="s">
        <v>18</v>
      </c>
      <c r="F12" s="67"/>
    </row>
    <row r="13" spans="1:8" ht="18" x14ac:dyDescent="0.35">
      <c r="A13" s="52"/>
      <c r="B13" s="52"/>
      <c r="C13" s="8" t="s">
        <v>2</v>
      </c>
      <c r="D13" s="9" t="s">
        <v>3</v>
      </c>
      <c r="E13" s="8" t="s">
        <v>2</v>
      </c>
      <c r="F13" s="9" t="s">
        <v>3</v>
      </c>
      <c r="G13" s="1"/>
    </row>
    <row r="14" spans="1:8" ht="18" x14ac:dyDescent="0.35">
      <c r="A14" s="10">
        <v>1</v>
      </c>
      <c r="B14" s="9" t="s">
        <v>15</v>
      </c>
      <c r="C14" s="21">
        <v>46304</v>
      </c>
      <c r="D14" s="6">
        <v>1876125</v>
      </c>
      <c r="E14" s="11"/>
      <c r="F14" s="6"/>
      <c r="G14" s="1"/>
    </row>
    <row r="15" spans="1:8" ht="18" x14ac:dyDescent="0.35">
      <c r="A15" s="10">
        <f>A14+1</f>
        <v>2</v>
      </c>
      <c r="B15" s="9"/>
      <c r="C15" s="21"/>
      <c r="D15" s="6"/>
      <c r="E15" s="11"/>
      <c r="F15" s="6"/>
      <c r="G15" s="1"/>
    </row>
    <row r="16" spans="1:8" ht="18" x14ac:dyDescent="0.35">
      <c r="A16" s="10">
        <f>A15+1</f>
        <v>3</v>
      </c>
      <c r="B16" s="9"/>
      <c r="C16" s="21"/>
      <c r="D16" s="6"/>
      <c r="E16" s="11"/>
      <c r="F16" s="6"/>
      <c r="G16" s="1"/>
    </row>
    <row r="17" spans="1:7" ht="18" x14ac:dyDescent="0.35">
      <c r="A17" s="10">
        <f>A16+1</f>
        <v>4</v>
      </c>
      <c r="B17" s="9"/>
      <c r="C17" s="21"/>
      <c r="D17" s="6"/>
      <c r="E17" s="11"/>
      <c r="F17" s="6"/>
      <c r="G17" s="1"/>
    </row>
    <row r="18" spans="1:7" ht="18" x14ac:dyDescent="0.35">
      <c r="A18" s="10">
        <f>A17+1</f>
        <v>5</v>
      </c>
      <c r="B18" s="9"/>
      <c r="C18" s="11"/>
      <c r="D18" s="6"/>
      <c r="E18" s="11"/>
      <c r="F18" s="6"/>
      <c r="G18" s="1"/>
    </row>
    <row r="19" spans="1:7" ht="18" x14ac:dyDescent="0.35">
      <c r="A19" s="10"/>
      <c r="B19" s="9"/>
      <c r="C19" s="11"/>
      <c r="D19" s="6"/>
      <c r="E19" s="11"/>
      <c r="F19" s="6"/>
      <c r="G19" s="1"/>
    </row>
    <row r="20" spans="1:7" ht="18" x14ac:dyDescent="0.35">
      <c r="A20" s="10"/>
      <c r="B20" s="9" t="s">
        <v>90</v>
      </c>
      <c r="C20" s="11"/>
      <c r="D20" s="6"/>
      <c r="E20" s="11"/>
      <c r="F20" s="6">
        <f>CIH!N67</f>
        <v>252300</v>
      </c>
    </row>
    <row r="21" spans="1:7" ht="18" x14ac:dyDescent="0.35">
      <c r="A21" s="12"/>
      <c r="B21" s="13"/>
      <c r="C21" s="12"/>
      <c r="D21" s="6"/>
      <c r="E21" s="14"/>
      <c r="F21" s="12"/>
    </row>
    <row r="22" spans="1:7" ht="18" x14ac:dyDescent="0.35">
      <c r="A22" s="54" t="s">
        <v>1</v>
      </c>
      <c r="B22" s="54"/>
      <c r="C22" s="12"/>
      <c r="D22" s="15">
        <f>SUM(D14:D21)</f>
        <v>1876125</v>
      </c>
      <c r="E22" s="16"/>
      <c r="F22" s="15">
        <f>SUM(F14:F21)</f>
        <v>252300</v>
      </c>
    </row>
    <row r="23" spans="1:7" ht="18" x14ac:dyDescent="0.35">
      <c r="A23" s="54" t="s">
        <v>17</v>
      </c>
      <c r="B23" s="54"/>
      <c r="C23" s="12"/>
      <c r="D23" s="15">
        <f>D9-D22</f>
        <v>4377625</v>
      </c>
      <c r="E23" s="16"/>
      <c r="F23" s="15"/>
    </row>
  </sheetData>
  <mergeCells count="7">
    <mergeCell ref="A23:B23"/>
    <mergeCell ref="A1:G1"/>
    <mergeCell ref="A12:A13"/>
    <mergeCell ref="B12:B13"/>
    <mergeCell ref="C12:D12"/>
    <mergeCell ref="E12:F12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KAS BESAR PROYEK</vt:lpstr>
      <vt:lpstr>TF AZKA</vt:lpstr>
      <vt:lpstr>CIH</vt:lpstr>
      <vt:lpstr>balai PU</vt:lpstr>
      <vt:lpstr>ford</vt:lpstr>
      <vt:lpstr>RICKY</vt:lpstr>
      <vt:lpstr>D. SENDI RSAL</vt:lpstr>
      <vt:lpstr>GUDANG JENNY</vt:lpstr>
      <vt:lpstr>CANOPY DEWI</vt:lpstr>
      <vt:lpstr>JENDELA KORIDOR DEWI</vt:lpstr>
      <vt:lpstr>NUR EFENDI</vt:lpstr>
      <vt:lpstr>IPUT</vt:lpstr>
      <vt:lpstr>IRSANDI</vt:lpstr>
      <vt:lpstr>INTERIOR FRIZQI</vt:lpstr>
      <vt:lpstr>LINTANG</vt:lpstr>
      <vt:lpstr>D. NANANG</vt:lpstr>
      <vt:lpstr>D. TENNY BEKASI</vt:lpstr>
      <vt:lpstr>D. HAMSJAH</vt:lpstr>
      <vt:lpstr>D. DEWI K24</vt:lpstr>
      <vt:lpstr>D. LINDA</vt:lpstr>
      <vt:lpstr>D. SIGIT GEDANGAN</vt:lpstr>
      <vt:lpstr>D. DESY</vt:lpstr>
      <vt:lpstr>D. DR MOLIS</vt:lpstr>
      <vt:lpstr>D. ERLIS</vt:lpstr>
      <vt:lpstr>D. ARIEF JOMBANG</vt:lpstr>
      <vt:lpstr>D. JONI</vt:lpstr>
      <vt:lpstr>D. NIKE</vt:lpstr>
      <vt:lpstr>D. ANGGA</vt:lpstr>
      <vt:lpstr>D. SAZA</vt:lpstr>
      <vt:lpstr>Sheet1</vt:lpstr>
      <vt:lpstr>D. INGE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Administrator</cp:lastModifiedBy>
  <dcterms:created xsi:type="dcterms:W3CDTF">2024-08-24T01:40:04Z</dcterms:created>
  <dcterms:modified xsi:type="dcterms:W3CDTF">2026-10-12T07:53:09Z</dcterms:modified>
</cp:coreProperties>
</file>